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063A265A-B824-4D63-AB1B-076B7492FFC8}" xr6:coauthVersionLast="47" xr6:coauthVersionMax="47" xr10:uidLastSave="{00000000-0000-0000-0000-000000000000}"/>
  <bookViews>
    <workbookView xWindow="-110" yWindow="-110" windowWidth="19420" windowHeight="11500"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7" l="1"/>
  <c r="F12" i="17"/>
  <c r="F18" i="17" s="1"/>
  <c r="F19" i="17" s="1"/>
  <c r="F20" i="17" s="1"/>
  <c r="F21" i="17" s="1"/>
  <c r="F13" i="18"/>
  <c r="F12" i="18"/>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C6" i="17" l="1" a="1"/>
  <c r="C6" i="17" s="1"/>
  <c r="I7" i="17" s="1"/>
  <c r="I35" i="17" s="1"/>
  <c r="F27" i="18"/>
  <c r="F30" i="18" s="1"/>
  <c r="F31" i="18" s="1"/>
  <c r="F32" i="18" s="1"/>
  <c r="F22" i="18"/>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5" i="17" l="1"/>
  <c r="T17" i="17"/>
  <c r="T33" i="17"/>
  <c r="T18"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1" i="17"/>
  <c r="U15" i="17"/>
  <c r="U31" i="17"/>
  <c r="U35" i="17"/>
  <c r="U19" i="17"/>
  <c r="U32"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6" i="17"/>
  <c r="V11" i="17"/>
  <c r="V22" i="17"/>
  <c r="V25" i="17"/>
  <c r="V24" i="17"/>
  <c r="V30" i="17"/>
  <c r="V34" i="17"/>
  <c r="V14" i="17"/>
  <c r="W7" i="17"/>
  <c r="W35"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11" i="17" l="1"/>
  <c r="W15" i="17"/>
  <c r="X7" i="17"/>
  <c r="X29" i="17" s="1"/>
  <c r="W22" i="17"/>
  <c r="W26" i="17"/>
  <c r="W12" i="17"/>
  <c r="W23" i="17"/>
  <c r="W28" i="17"/>
  <c r="W19" i="17"/>
  <c r="W27" i="17"/>
  <c r="W13" i="17"/>
  <c r="W31" i="17"/>
  <c r="W25" i="17"/>
  <c r="W32" i="17"/>
  <c r="W29" i="17"/>
  <c r="W33" i="17"/>
  <c r="W14" i="17"/>
  <c r="W16" i="17"/>
  <c r="W34" i="17"/>
  <c r="W24" i="17"/>
  <c r="W17" i="17"/>
  <c r="W6" i="17"/>
  <c r="W21" i="17"/>
  <c r="W9" i="17"/>
  <c r="W18" i="17"/>
  <c r="W20" i="17"/>
  <c r="W30"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12" i="17" l="1"/>
  <c r="X19" i="17"/>
  <c r="X21" i="17"/>
  <c r="Y7" i="17"/>
  <c r="Y26" i="17" s="1"/>
  <c r="X31" i="17"/>
  <c r="X26" i="17"/>
  <c r="X30" i="17"/>
  <c r="X15" i="17"/>
  <c r="X24" i="17"/>
  <c r="X32" i="17"/>
  <c r="X13" i="17"/>
  <c r="X27" i="17"/>
  <c r="X33" i="17"/>
  <c r="X14" i="17"/>
  <c r="X20" i="17"/>
  <c r="X34" i="17"/>
  <c r="X22" i="17"/>
  <c r="X25" i="17"/>
  <c r="X35" i="17"/>
  <c r="X9" i="17"/>
  <c r="X16" i="17"/>
  <c r="X11" i="17"/>
  <c r="X17" i="17"/>
  <c r="X18" i="17"/>
  <c r="X28" i="17"/>
  <c r="X23"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c r="Y33" i="17"/>
  <c r="Y31" i="17"/>
  <c r="Y29" i="17"/>
  <c r="Y28" i="17"/>
  <c r="Y27" i="17"/>
  <c r="Y32" i="17"/>
  <c r="Y11" i="17"/>
  <c r="Y16" i="17"/>
  <c r="Y14" i="17"/>
  <c r="Y13" i="17"/>
  <c r="Z7" i="17"/>
  <c r="Y15" i="17" l="1"/>
  <c r="Y18" i="17"/>
  <c r="Y30" i="17"/>
  <c r="Y22" i="17"/>
  <c r="Y23" i="17"/>
  <c r="Y34" i="17"/>
  <c r="Y19" i="17"/>
  <c r="Y12" i="17"/>
  <c r="Y24" i="17"/>
  <c r="Y17" i="17"/>
  <c r="Y20" i="17"/>
  <c r="Y21" i="17"/>
  <c r="Y25" i="17"/>
  <c r="Y9"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Z20" i="17"/>
  <c r="Z11" i="17"/>
  <c r="Z15" i="17"/>
  <c r="Z9" i="17"/>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A19" i="17"/>
  <c r="AA28" i="17"/>
  <c r="AA24" i="17"/>
  <c r="AA15" i="17"/>
  <c r="AA11" i="17"/>
  <c r="AA9" i="17"/>
  <c r="AA14" i="17"/>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5" i="17"/>
  <c r="AB34" i="17"/>
  <c r="AB33" i="17"/>
  <c r="AB32" i="17"/>
  <c r="AB31" i="17"/>
  <c r="AB30" i="17"/>
  <c r="AB26" i="17"/>
  <c r="AB29" i="17"/>
  <c r="AB28" i="17"/>
  <c r="AB21" i="17"/>
  <c r="AB17" i="17"/>
  <c r="AB16" i="17"/>
  <c r="AB27" i="17"/>
  <c r="AB25" i="17"/>
  <c r="AB20" i="17"/>
  <c r="AB24" i="17"/>
  <c r="AB23" i="17"/>
  <c r="AB12" i="17"/>
  <c r="AC7" i="17"/>
  <c r="AB15" i="17"/>
  <c r="AB11" i="17"/>
  <c r="AB9" i="17"/>
  <c r="AB22" i="17"/>
  <c r="AB19" i="17"/>
  <c r="AB14" i="17"/>
  <c r="AB18" i="17"/>
  <c r="AB13" i="17"/>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9" i="17"/>
  <c r="AC26" i="17"/>
  <c r="AC14" i="17"/>
  <c r="AC18" i="17"/>
  <c r="AC13" i="17"/>
  <c r="AC12" i="17"/>
  <c r="AC16" i="17"/>
  <c r="AC17" i="17"/>
  <c r="AD7" i="17"/>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35" i="18" l="1"/>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E15" i="17"/>
  <c r="AE11" i="17"/>
  <c r="AE9" i="17"/>
  <c r="AE14" i="17"/>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I29" i="17"/>
  <c r="AI11" i="17"/>
  <c r="AI9" i="17"/>
  <c r="AI19"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19" i="18" l="1"/>
  <c r="AK35" i="18"/>
  <c r="AK16" i="18"/>
  <c r="AK9" i="18"/>
  <c r="AK15" i="18"/>
  <c r="AK22" i="18"/>
  <c r="AK6" i="18"/>
  <c r="AK24" i="18"/>
  <c r="AK29" i="18"/>
  <c r="AK30" i="18"/>
  <c r="AK11" i="18"/>
  <c r="AK21" i="18"/>
  <c r="AK14" i="18"/>
  <c r="AK31" i="18"/>
  <c r="AK12" i="18"/>
  <c r="AK20" i="18"/>
  <c r="AK23" i="18"/>
  <c r="AK28" i="18"/>
  <c r="AK26" i="18"/>
  <c r="AL7" i="18"/>
  <c r="AL18"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9" i="18" l="1"/>
  <c r="AL11" i="18"/>
  <c r="AL27" i="18"/>
  <c r="AL31" i="18"/>
  <c r="AL15" i="18"/>
  <c r="AL32" i="18"/>
  <c r="AM7" i="18"/>
  <c r="AM27" i="18" s="1"/>
  <c r="AL20" i="18"/>
  <c r="AL33" i="18"/>
  <c r="AL24" i="18"/>
  <c r="AL28" i="18"/>
  <c r="AL17" i="18"/>
  <c r="AL35" i="18"/>
  <c r="AL30" i="18"/>
  <c r="AL12" i="18"/>
  <c r="AL29" i="18"/>
  <c r="AL25" i="18"/>
  <c r="AL19" i="18"/>
  <c r="AL16" i="18"/>
  <c r="AL34" i="18"/>
  <c r="AL22" i="18"/>
  <c r="AL14" i="18"/>
  <c r="AL26" i="18"/>
  <c r="AL23" i="18"/>
  <c r="AL21" i="18"/>
  <c r="AL13"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17" i="18" l="1"/>
  <c r="AM21" i="18"/>
  <c r="AM25" i="18"/>
  <c r="AM26" i="18"/>
  <c r="AM24" i="18"/>
  <c r="AM28" i="18"/>
  <c r="AM18" i="18"/>
  <c r="AM29" i="18"/>
  <c r="AN7" i="18"/>
  <c r="AN30" i="18" s="1"/>
  <c r="AM31" i="18"/>
  <c r="AM12" i="18"/>
  <c r="AM34" i="18"/>
  <c r="AM13" i="18"/>
  <c r="AM35" i="18"/>
  <c r="AM14" i="18"/>
  <c r="AM16" i="18"/>
  <c r="AM15" i="18"/>
  <c r="AM30" i="18"/>
  <c r="AM19" i="18"/>
  <c r="AM32" i="18"/>
  <c r="AM20" i="18"/>
  <c r="AM33" i="18"/>
  <c r="AM22" i="18"/>
  <c r="AM9" i="18"/>
  <c r="AM23" i="18"/>
  <c r="AM11"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N12" i="18" l="1"/>
  <c r="AN13" i="18"/>
  <c r="AN16" i="18"/>
  <c r="AN20" i="18"/>
  <c r="AN24" i="18"/>
  <c r="AN26" i="18"/>
  <c r="AN22" i="18"/>
  <c r="AN23" i="18"/>
  <c r="AN29" i="18"/>
  <c r="AN17" i="18"/>
  <c r="AN25" i="18"/>
  <c r="AO7" i="18"/>
  <c r="AO25" i="18" s="1"/>
  <c r="AN11" i="18"/>
  <c r="AN31" i="18"/>
  <c r="AN33" i="18"/>
  <c r="AN34" i="18"/>
  <c r="AN9" i="18"/>
  <c r="AN27" i="18"/>
  <c r="AN18" i="18"/>
  <c r="AN32" i="18"/>
  <c r="AN19" i="18"/>
  <c r="AN28" i="18"/>
  <c r="AN21" i="18"/>
  <c r="AN15" i="18"/>
  <c r="AN35" i="18"/>
  <c r="AN14"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O14" i="18" l="1"/>
  <c r="AO19" i="18"/>
  <c r="AO12" i="18"/>
  <c r="AO13" i="18"/>
  <c r="AO33" i="18"/>
  <c r="AO32" i="18"/>
  <c r="AO21" i="18"/>
  <c r="AO30" i="18"/>
  <c r="AO18" i="18"/>
  <c r="AP7" i="18"/>
  <c r="AP27" i="18" s="1"/>
  <c r="AO22" i="18"/>
  <c r="AO31" i="18"/>
  <c r="AO35" i="18"/>
  <c r="AO15" i="18"/>
  <c r="AO26" i="18"/>
  <c r="AO24" i="18"/>
  <c r="AO17" i="18"/>
  <c r="AO27" i="18"/>
  <c r="AO23" i="18"/>
  <c r="AO9" i="18"/>
  <c r="AO34" i="18"/>
  <c r="AO11" i="18"/>
  <c r="AO28" i="18"/>
  <c r="AO20" i="18"/>
  <c r="AO29" i="18"/>
  <c r="AO16"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7" i="18" l="1"/>
  <c r="AQ22" i="18" s="1"/>
  <c r="AP12" i="18"/>
  <c r="AP28" i="18"/>
  <c r="AP22" i="18"/>
  <c r="AP24" i="18"/>
  <c r="AP29" i="18"/>
  <c r="AP20" i="18"/>
  <c r="AP17" i="18"/>
  <c r="AP32" i="18"/>
  <c r="AP9" i="18"/>
  <c r="AP21" i="18"/>
  <c r="AP33" i="18"/>
  <c r="AP31" i="18"/>
  <c r="AP35" i="18"/>
  <c r="AP14" i="18"/>
  <c r="AP25" i="18"/>
  <c r="AP15" i="18"/>
  <c r="AP30" i="18"/>
  <c r="AP11" i="18"/>
  <c r="AP26" i="18"/>
  <c r="AP34" i="18"/>
  <c r="AP16" i="18"/>
  <c r="AP13" i="18"/>
  <c r="AP19" i="18"/>
  <c r="AP18" i="18"/>
  <c r="AP23" i="18"/>
  <c r="AQ14" i="18"/>
  <c r="AQ25" i="18"/>
  <c r="AQ18" i="18"/>
  <c r="AQ11" i="18"/>
  <c r="AQ9" i="18"/>
  <c r="AQ15"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Q21" i="18" l="1"/>
  <c r="AQ26" i="18"/>
  <c r="AQ23" i="18"/>
  <c r="AQ27" i="18"/>
  <c r="AQ29" i="18"/>
  <c r="AQ24" i="18"/>
  <c r="AQ28" i="18"/>
  <c r="AR7" i="18"/>
  <c r="AR35" i="18" s="1"/>
  <c r="AQ31" i="18"/>
  <c r="AQ12" i="18"/>
  <c r="AQ32" i="18"/>
  <c r="AQ20" i="18"/>
  <c r="AQ33" i="18"/>
  <c r="AQ16" i="18"/>
  <c r="AQ34" i="18"/>
  <c r="AQ17" i="18"/>
  <c r="AQ19" i="18"/>
  <c r="AQ30" i="18"/>
  <c r="AQ35" i="18"/>
  <c r="AQ13" i="18"/>
  <c r="AR15" i="18"/>
  <c r="AR14"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R17" i="18" l="1"/>
  <c r="AR28" i="18"/>
  <c r="AR21" i="18"/>
  <c r="AR25" i="18"/>
  <c r="AS7" i="18"/>
  <c r="AS14" i="18" s="1"/>
  <c r="AR26" i="18"/>
  <c r="AR12" i="18"/>
  <c r="AR22" i="18"/>
  <c r="AR9" i="18"/>
  <c r="AR23" i="18"/>
  <c r="AR11" i="18"/>
  <c r="AR27" i="18"/>
  <c r="AR13" i="18"/>
  <c r="AR30" i="18"/>
  <c r="AR18" i="18"/>
  <c r="AR31" i="18"/>
  <c r="AR24" i="18"/>
  <c r="AR32" i="18"/>
  <c r="AR29" i="18"/>
  <c r="AR33" i="18"/>
  <c r="AR6" i="18"/>
  <c r="AR19" i="18"/>
  <c r="AR34" i="18"/>
  <c r="AR16" i="18"/>
  <c r="AR20" i="18"/>
  <c r="AS25" i="18"/>
  <c r="AS32" i="18"/>
  <c r="AS30" i="18"/>
  <c r="AS29" i="18"/>
  <c r="AS28" i="18"/>
  <c r="AS19" i="18"/>
  <c r="AS23" i="18"/>
  <c r="AS22" i="18"/>
  <c r="AS21" i="18"/>
  <c r="AS17" i="18"/>
  <c r="AS20" i="18"/>
  <c r="AS11"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S15" i="18" l="1"/>
  <c r="AS34" i="18"/>
  <c r="AS16" i="18"/>
  <c r="AS26" i="18"/>
  <c r="AS13" i="18"/>
  <c r="AS27" i="18"/>
  <c r="AS31" i="18"/>
  <c r="AT7" i="18"/>
  <c r="AT32" i="18" s="1"/>
  <c r="AS18" i="18"/>
  <c r="AS33" i="18"/>
  <c r="AS12" i="18"/>
  <c r="AS24" i="18"/>
  <c r="AS35" i="18"/>
  <c r="AS9" i="18"/>
  <c r="AT29" i="18"/>
  <c r="AT28" i="18"/>
  <c r="AT24" i="18"/>
  <c r="AT27" i="18"/>
  <c r="AT26" i="18"/>
  <c r="AT19" i="18"/>
  <c r="AT14" i="18"/>
  <c r="AT12" i="18"/>
  <c r="AU7" i="18"/>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T23" i="18" l="1"/>
  <c r="AT35" i="18"/>
  <c r="AT16" i="18"/>
  <c r="AT20" i="18"/>
  <c r="AT33" i="18"/>
  <c r="AT25" i="18"/>
  <c r="AT15" i="18"/>
  <c r="AT30" i="18"/>
  <c r="AT17" i="18"/>
  <c r="AT34" i="18"/>
  <c r="AT13" i="18"/>
  <c r="AT9" i="18"/>
  <c r="AT18" i="18"/>
  <c r="AT21" i="18"/>
  <c r="AT31" i="18"/>
  <c r="AT22" i="18"/>
  <c r="AU35" i="18"/>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34" i="16" l="1"/>
  <c r="BA1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24" i="16" l="1"/>
  <c r="BC23" i="16"/>
  <c r="BC16" i="16"/>
  <c r="BC17" i="16"/>
  <c r="BC13" i="16"/>
  <c r="BC21" i="16"/>
  <c r="BC9" i="16"/>
  <c r="BC27" i="16"/>
  <c r="BC11" i="16"/>
  <c r="BC28" i="16"/>
  <c r="BC15" i="16"/>
  <c r="BC29" i="16"/>
  <c r="BD7" i="16"/>
  <c r="BD35" i="16" s="1"/>
  <c r="BC31" i="16"/>
  <c r="BC12" i="16"/>
  <c r="BC32" i="16"/>
  <c r="BC18" i="16"/>
  <c r="BC33" i="16"/>
  <c r="BC22" i="16"/>
  <c r="BC35" i="16"/>
  <c r="BC14" i="16"/>
  <c r="BC25" i="16"/>
  <c r="BC19" i="16"/>
  <c r="BC20" i="16"/>
  <c r="BC26" i="16"/>
  <c r="BC30" i="16"/>
  <c r="BD13" i="16" l="1"/>
  <c r="BD16" i="16"/>
  <c r="BD28" i="16"/>
  <c r="BD15" i="16"/>
  <c r="BD25" i="16"/>
  <c r="BD26" i="16"/>
  <c r="BD31" i="16"/>
  <c r="BE7" i="16"/>
  <c r="BE31" i="16" s="1"/>
  <c r="BD20" i="16"/>
  <c r="BD14" i="16"/>
  <c r="BD9" i="16"/>
  <c r="BD11" i="16"/>
  <c r="BD27" i="16"/>
  <c r="BD17" i="16"/>
  <c r="BD30" i="16"/>
  <c r="BD22" i="16"/>
  <c r="BD21" i="16"/>
  <c r="BD32" i="16"/>
  <c r="BD12" i="16"/>
  <c r="BD24" i="16"/>
  <c r="BD33" i="16"/>
  <c r="BD18" i="16"/>
  <c r="BD29" i="16"/>
  <c r="BD34" i="16"/>
  <c r="BD19" i="16"/>
  <c r="BD23" i="16"/>
  <c r="BE13" i="16" l="1"/>
  <c r="BE16" i="16"/>
  <c r="BE12" i="16"/>
  <c r="BE20" i="16"/>
  <c r="BE30" i="16"/>
  <c r="BE18" i="16"/>
  <c r="BE21" i="16"/>
  <c r="BE34" i="16"/>
  <c r="BE19" i="16"/>
  <c r="BE24" i="16"/>
  <c r="BE17" i="16"/>
  <c r="BF7" i="16"/>
  <c r="BF32" i="16" s="1"/>
  <c r="BE23" i="16"/>
  <c r="BE32" i="16"/>
  <c r="BE9" i="16"/>
  <c r="BE28" i="16"/>
  <c r="BE11" i="16"/>
  <c r="BE33" i="16"/>
  <c r="BE14" i="16"/>
  <c r="BE35" i="16"/>
  <c r="BE27" i="16"/>
  <c r="BE26" i="16"/>
  <c r="BE22" i="16"/>
  <c r="BE15" i="16"/>
  <c r="BE29" i="16"/>
  <c r="BE25" i="16"/>
  <c r="BG7" i="16" l="1"/>
  <c r="BG25" i="16" s="1"/>
  <c r="BF24" i="16"/>
  <c r="BF18" i="16"/>
  <c r="BF23" i="16"/>
  <c r="BF15" i="16"/>
  <c r="BF9" i="16"/>
  <c r="BF34" i="16"/>
  <c r="BF26" i="16"/>
  <c r="BF22" i="16"/>
  <c r="BF27" i="16"/>
  <c r="BF33" i="16"/>
  <c r="BF11" i="16"/>
  <c r="BF35" i="16"/>
  <c r="BF17" i="16"/>
  <c r="BF21" i="16"/>
  <c r="BF12" i="16"/>
  <c r="BF13" i="16"/>
  <c r="BF25" i="16"/>
  <c r="BF31" i="16"/>
  <c r="BF28" i="16"/>
  <c r="BF6" i="16"/>
  <c r="BF29" i="16"/>
  <c r="BF16" i="16"/>
  <c r="BF30" i="16"/>
  <c r="BF20" i="16"/>
  <c r="BF14" i="16"/>
  <c r="BF19" i="16"/>
  <c r="BG14" i="16" l="1"/>
  <c r="BG15" i="16"/>
  <c r="BG18" i="16"/>
  <c r="BG9" i="16"/>
  <c r="BG16" i="16"/>
  <c r="BG17" i="16"/>
  <c r="BG26" i="16"/>
  <c r="BG34" i="16"/>
  <c r="BG35" i="16"/>
  <c r="BG27" i="16"/>
  <c r="BG28" i="16"/>
  <c r="BG23" i="16"/>
  <c r="BG30" i="16"/>
  <c r="BG11" i="16"/>
  <c r="BH7" i="16"/>
  <c r="BH26" i="16" s="1"/>
  <c r="BG12" i="16"/>
  <c r="BG29" i="16"/>
  <c r="BG20" i="16"/>
  <c r="BG31" i="16"/>
  <c r="BG19" i="16"/>
  <c r="BG32" i="16"/>
  <c r="BG13" i="16"/>
  <c r="BG22" i="16"/>
  <c r="BG33" i="16"/>
  <c r="BG21" i="16"/>
  <c r="BG24" i="16"/>
  <c r="BH14" i="16" l="1"/>
  <c r="BH35" i="16"/>
  <c r="BI7" i="16"/>
  <c r="BI24" i="16" s="1"/>
  <c r="BH30" i="16"/>
  <c r="BH17" i="16"/>
  <c r="BH18" i="16"/>
  <c r="BH9" i="16"/>
  <c r="BH11" i="16"/>
  <c r="BH25" i="16"/>
  <c r="BH27" i="16"/>
  <c r="BH31" i="16"/>
  <c r="BH32" i="16"/>
  <c r="BH19" i="16"/>
  <c r="BH34" i="16"/>
  <c r="BH28" i="16"/>
  <c r="BH24" i="16"/>
  <c r="BH23" i="16"/>
  <c r="BH16" i="16"/>
  <c r="BH20" i="16"/>
  <c r="BH22" i="16"/>
  <c r="BH29" i="16"/>
  <c r="BH12" i="16"/>
  <c r="BH21" i="16"/>
  <c r="BH33" i="16"/>
  <c r="BH13" i="16"/>
  <c r="BH15" i="16"/>
  <c r="BI35" i="16"/>
  <c r="BI31" i="16"/>
  <c r="BI26" i="16"/>
  <c r="BI34" i="16"/>
  <c r="BI32" i="16"/>
  <c r="BI30" i="16"/>
  <c r="BI29" i="16"/>
  <c r="BI28" i="16"/>
  <c r="BI27" i="16"/>
  <c r="BI17" i="16"/>
  <c r="BI11" i="16"/>
  <c r="BI15" i="16"/>
  <c r="BI12" i="16"/>
  <c r="BJ7" i="16"/>
  <c r="BI14" i="16" l="1"/>
  <c r="BI18" i="16"/>
  <c r="BI22" i="16"/>
  <c r="BI21" i="16"/>
  <c r="BI25" i="16"/>
  <c r="BI33" i="16"/>
  <c r="BI20" i="16"/>
  <c r="BI9" i="16"/>
  <c r="BI23" i="16"/>
  <c r="BI16" i="16"/>
  <c r="BI19" i="16"/>
  <c r="BI13" i="16"/>
  <c r="BJ35" i="16"/>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<sst xmlns="http://schemas.openxmlformats.org/spreadsheetml/2006/main" count="178" uniqueCount="41">
  <si>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</si>
  <si>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</si>
  <si>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</si>
  <si>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</si>
  <si>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</si>
  <si>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</si>
  <si>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</si>
  <si>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</si>
  <si>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</si>
  <si>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</si>
  <si>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</si>
  <si>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</si>
  <si>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</si>
  <si>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</si>
  <si>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</si>
  <si>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</si>
  <si>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</si>
  <si>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</si>
  <si>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</si>
  <si>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</si>
  <si>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</si>
  <si>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</si>
  <si>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</si>
  <si>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</si>
  <si>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</si>
  <si>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</si>
  <si>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</si>
  <si>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</si>
  <si>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</si>
  <si>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</si>
  <si>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</si>
  <si>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</si>
  <si>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</si>
  <si>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</si>
  <si>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</si>
  <si>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</si>
  <si>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</si>
  <si>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Stakeholder Register</t>
  </si>
  <si>
    <t>Euan</t>
  </si>
  <si>
    <t>User Persona</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</si>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</sst>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107"/>
    </row>
    <row r="2" spans="1:13" ht="50.15" customHeight="1" x14ac:dyDescent="0.6">
      <c r="A2" s="7"/>
      <c r="B2" s="113"/>
      <c r="C2" s="124" t="s">
        <v>34</v>
      </c>
      <c r="D2" s="124"/>
      <c r="E2" s="124"/>
      <c r="F2" s="113"/>
      <c r="G2" s="7"/>
      <c r="H2" s="7"/>
      <c r="I2" s="7"/>
      <c r="J2" s="7"/>
      <c r="K2" s="7"/>
      <c r="L2" s="7"/>
      <c r="M2" s="7"/>
    </row>
    <row r="3" spans="1:13" ht="14.5" customHeight="1" x14ac:dyDescent="0.6">
      <c r="A3" s="7"/>
      <c r="B3" s="108"/>
      <c r="C3" s="109"/>
      <c r="D3" s="110"/>
      <c r="E3" s="108"/>
      <c r="F3" s="108"/>
      <c r="G3" s="7"/>
      <c r="H3" s="7"/>
      <c r="I3" s="7"/>
      <c r="J3" s="7"/>
      <c r="K3" s="7"/>
      <c r="L3" s="7"/>
      <c r="M3" s="7"/>
    </row>
    <row r="4" spans="1:13" s="8" customFormat="1" ht="67.150000000000006" customHeight="1" x14ac:dyDescent="0.6">
      <c r="A4" s="7"/>
      <c r="B4" s="108"/>
      <c r="C4" s="125" t="s">
        <v>35</v>
      </c>
      <c r="D4" s="125"/>
      <c r="E4" s="125"/>
      <c r="F4" s="108"/>
      <c r="G4" s="7"/>
      <c r="H4" s="7"/>
      <c r="I4" s="7"/>
      <c r="J4" s="7"/>
      <c r="K4" s="7"/>
      <c r="L4" s="7"/>
      <c r="M4" s="7"/>
    </row>
    <row r="5" spans="1:13" s="8" customFormat="1" ht="67.150000000000006" customHeight="1" x14ac:dyDescent="0.6">
      <c r="A5" s="7"/>
      <c r="B5" s="108"/>
      <c r="C5" s="125" t="s">
        <v>36</v>
      </c>
      <c r="D5" s="125"/>
      <c r="E5" s="125"/>
      <c r="F5" s="108"/>
      <c r="G5" s="7"/>
      <c r="H5" s="7"/>
      <c r="I5" s="7"/>
      <c r="J5" s="7"/>
      <c r="K5" s="7"/>
      <c r="L5" s="7"/>
      <c r="M5" s="7"/>
    </row>
    <row r="6" spans="1:13" ht="14.5" x14ac:dyDescent="0.35">
      <c r="A6" s="6"/>
      <c r="B6" s="111"/>
      <c r="C6" s="111"/>
      <c r="D6" s="112"/>
      <c r="E6" s="111"/>
      <c r="F6" s="111"/>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topLeftCell="A3" zoomScale="63" zoomScaleNormal="100" zoomScalePageLayoutView="70" workbookViewId="0">
      <selection activeCell="G14" sqref="G14"/>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28" t="s">
        <v>5</v>
      </c>
      <c r="C2" s="128"/>
      <c r="D2" s="128"/>
      <c r="E2" s="128"/>
      <c r="F2" s="128"/>
      <c r="G2" s="128"/>
      <c r="H2" s="128"/>
      <c r="I2" s="129"/>
      <c r="J2" s="129"/>
      <c r="K2" s="129"/>
      <c r="L2" s="129"/>
      <c r="M2" s="129"/>
      <c r="N2" s="129"/>
      <c r="O2" s="130"/>
      <c r="P2" s="130"/>
      <c r="Q2" s="130"/>
      <c r="R2" s="130"/>
      <c r="S2" s="130"/>
      <c r="T2" s="130"/>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row>
    <row r="3" spans="1:68" ht="19.899999999999999" customHeight="1" x14ac:dyDescent="0.35">
      <c r="A3" s="10"/>
      <c r="B3" s="68"/>
      <c r="C3" s="69"/>
      <c r="D3" s="70"/>
      <c r="E3" s="70"/>
      <c r="F3" s="71"/>
      <c r="G3" s="70"/>
      <c r="H3" s="70"/>
      <c r="I3" s="84"/>
      <c r="J3" s="1"/>
      <c r="K3" s="1"/>
      <c r="L3" s="1"/>
    </row>
    <row r="4" spans="1:68" ht="30" customHeight="1" x14ac:dyDescent="0.3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5">
      <c r="A5" s="10"/>
      <c r="B5" s="78" t="s">
        <v>21</v>
      </c>
      <c r="C5" s="74"/>
      <c r="D5" s="74"/>
      <c r="E5" s="75"/>
      <c r="F5" s="76"/>
      <c r="G5" s="75"/>
      <c r="H5" s="75"/>
    </row>
    <row r="6" spans="1:68" ht="30" customHeight="1" x14ac:dyDescent="0.5">
      <c r="A6" s="10"/>
      <c r="B6" s="79" t="s">
        <v>17</v>
      </c>
      <c r="C6" s="80" cm="1">
        <f t="array" aca="1" ref="C6" ca="1">IFERROR(IF(MIN(Milestones4352[Start])=0,DATE(2026,2,20),B11(Milestones4352[Start])),DATE(2026,2,20))</f>
        <v>46073</v>
      </c>
      <c r="D6" s="81"/>
      <c r="E6" s="75"/>
      <c r="F6" s="76"/>
      <c r="G6" s="75"/>
      <c r="H6" s="75"/>
      <c r="I6" s="91" t="str">
        <f ca="1">TEXT(I7,"mmmm")</f>
        <v>February</v>
      </c>
      <c r="J6" s="91"/>
      <c r="K6" s="91"/>
      <c r="L6" s="91"/>
      <c r="M6" s="91"/>
      <c r="N6" s="91"/>
      <c r="O6" s="91"/>
      <c r="P6" s="91" t="str">
        <f ca="1">IF(TEXT(P7,"mmmm")=I6,"",TEXT(P7,"mmmm"))</f>
        <v/>
      </c>
      <c r="Q6" s="91"/>
      <c r="R6" s="91"/>
      <c r="S6" s="91"/>
      <c r="T6" s="91"/>
      <c r="U6" s="91"/>
      <c r="V6" s="91"/>
      <c r="W6" s="91" t="str">
        <f ca="1">IF(OR(TEXT(W7,"mmmm")=P6,TEXT(W7,"mmmm")=I6),"",TEXT(W7,"mmmm"))</f>
        <v>March</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
      </c>
      <c r="AS6" s="91"/>
      <c r="AT6" s="91"/>
      <c r="AU6" s="91"/>
      <c r="AV6" s="91"/>
      <c r="AW6" s="91"/>
      <c r="AX6" s="92"/>
      <c r="AY6" s="92" t="str">
        <f ca="1">IF(OR(TEXT(AY7,"mmmm")=AR6,TEXT(AY7,"mmmm")=AK6,TEXT(AY7,"mmmm")=AD6,TEXT(AY7,"mmmm")=W6),"",TEXT(AY7,"mmmm"))</f>
        <v>April</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5">
      <c r="A7" s="10"/>
      <c r="B7" s="79" t="s">
        <v>12</v>
      </c>
      <c r="C7" s="82">
        <v>1</v>
      </c>
      <c r="D7" s="74"/>
      <c r="E7" s="75"/>
      <c r="F7" s="75"/>
      <c r="G7" s="75"/>
      <c r="H7" s="83"/>
      <c r="I7" s="98">
        <f ca="1">IFERROR(Project_Start+Scrolling_Increment,TODAY())</f>
        <v>46074</v>
      </c>
      <c r="J7" s="99">
        <f ca="1">I7+1</f>
        <v>46075</v>
      </c>
      <c r="K7" s="99">
        <f t="shared" ref="K7:AX7" ca="1" si="0">J7+1</f>
        <v>46076</v>
      </c>
      <c r="L7" s="99">
        <f t="shared" ca="1" si="0"/>
        <v>46077</v>
      </c>
      <c r="M7" s="99">
        <f t="shared" ca="1" si="0"/>
        <v>46078</v>
      </c>
      <c r="N7" s="99">
        <f t="shared" ca="1" si="0"/>
        <v>46079</v>
      </c>
      <c r="O7" s="100">
        <f t="shared" ca="1" si="0"/>
        <v>46080</v>
      </c>
      <c r="P7" s="99">
        <f ca="1">O7+1</f>
        <v>46081</v>
      </c>
      <c r="Q7" s="99">
        <f ca="1">P7+1</f>
        <v>46082</v>
      </c>
      <c r="R7" s="99">
        <f t="shared" ca="1" si="0"/>
        <v>46083</v>
      </c>
      <c r="S7" s="99">
        <f t="shared" ca="1" si="0"/>
        <v>46084</v>
      </c>
      <c r="T7" s="99">
        <f t="shared" ca="1" si="0"/>
        <v>46085</v>
      </c>
      <c r="U7" s="99">
        <f t="shared" ca="1" si="0"/>
        <v>46086</v>
      </c>
      <c r="V7" s="100">
        <f t="shared" ca="1" si="0"/>
        <v>46087</v>
      </c>
      <c r="W7" s="99">
        <f ca="1">V7+1</f>
        <v>46088</v>
      </c>
      <c r="X7" s="99">
        <f ca="1">W7+1</f>
        <v>46089</v>
      </c>
      <c r="Y7" s="99">
        <f t="shared" ca="1" si="0"/>
        <v>46090</v>
      </c>
      <c r="Z7" s="99">
        <f t="shared" ca="1" si="0"/>
        <v>46091</v>
      </c>
      <c r="AA7" s="99">
        <f t="shared" ca="1" si="0"/>
        <v>46092</v>
      </c>
      <c r="AB7" s="99">
        <f t="shared" ca="1" si="0"/>
        <v>46093</v>
      </c>
      <c r="AC7" s="100">
        <f t="shared" ca="1" si="0"/>
        <v>46094</v>
      </c>
      <c r="AD7" s="99">
        <f ca="1">AC7+1</f>
        <v>46095</v>
      </c>
      <c r="AE7" s="99">
        <f ca="1">AD7+1</f>
        <v>46096</v>
      </c>
      <c r="AF7" s="99">
        <f t="shared" ca="1" si="0"/>
        <v>46097</v>
      </c>
      <c r="AG7" s="99">
        <f t="shared" ca="1" si="0"/>
        <v>46098</v>
      </c>
      <c r="AH7" s="99">
        <f t="shared" ca="1" si="0"/>
        <v>46099</v>
      </c>
      <c r="AI7" s="99">
        <f t="shared" ca="1" si="0"/>
        <v>46100</v>
      </c>
      <c r="AJ7" s="100">
        <f t="shared" ca="1" si="0"/>
        <v>46101</v>
      </c>
      <c r="AK7" s="99">
        <f ca="1">AJ7+1</f>
        <v>46102</v>
      </c>
      <c r="AL7" s="99">
        <f ca="1">AK7+1</f>
        <v>46103</v>
      </c>
      <c r="AM7" s="99">
        <f t="shared" ca="1" si="0"/>
        <v>46104</v>
      </c>
      <c r="AN7" s="99">
        <f t="shared" ca="1" si="0"/>
        <v>46105</v>
      </c>
      <c r="AO7" s="99">
        <f t="shared" ca="1" si="0"/>
        <v>46106</v>
      </c>
      <c r="AP7" s="99">
        <f t="shared" ca="1" si="0"/>
        <v>46107</v>
      </c>
      <c r="AQ7" s="100">
        <f t="shared" ca="1" si="0"/>
        <v>46108</v>
      </c>
      <c r="AR7" s="99">
        <f ca="1">AQ7+1</f>
        <v>46109</v>
      </c>
      <c r="AS7" s="99">
        <f ca="1">AR7+1</f>
        <v>46110</v>
      </c>
      <c r="AT7" s="99">
        <f t="shared" ca="1" si="0"/>
        <v>46111</v>
      </c>
      <c r="AU7" s="99">
        <f t="shared" ca="1" si="0"/>
        <v>46112</v>
      </c>
      <c r="AV7" s="99">
        <f t="shared" ca="1" si="0"/>
        <v>46113</v>
      </c>
      <c r="AW7" s="99">
        <f t="shared" ca="1" si="0"/>
        <v>46114</v>
      </c>
      <c r="AX7" s="100">
        <f t="shared" ca="1" si="0"/>
        <v>46115</v>
      </c>
      <c r="AY7" s="99">
        <f ca="1">AX7+1</f>
        <v>46116</v>
      </c>
      <c r="AZ7" s="99">
        <f ca="1">AY7+1</f>
        <v>46117</v>
      </c>
      <c r="BA7" s="99">
        <f t="shared" ref="BA7:BE7" ca="1" si="1">AZ7+1</f>
        <v>46118</v>
      </c>
      <c r="BB7" s="99">
        <f t="shared" ca="1" si="1"/>
        <v>46119</v>
      </c>
      <c r="BC7" s="99">
        <f t="shared" ca="1" si="1"/>
        <v>46120</v>
      </c>
      <c r="BD7" s="99">
        <f t="shared" ca="1" si="1"/>
        <v>46121</v>
      </c>
      <c r="BE7" s="100">
        <f t="shared" ca="1" si="1"/>
        <v>46122</v>
      </c>
      <c r="BF7" s="99">
        <f ca="1">BE7+1</f>
        <v>46123</v>
      </c>
      <c r="BG7" s="99">
        <f ca="1">BF7+1</f>
        <v>46124</v>
      </c>
      <c r="BH7" s="99">
        <f t="shared" ref="BH7:BL7" ca="1" si="2">BG7+1</f>
        <v>46125</v>
      </c>
      <c r="BI7" s="99">
        <f t="shared" ca="1" si="2"/>
        <v>46126</v>
      </c>
      <c r="BJ7" s="99">
        <f t="shared" ca="1" si="2"/>
        <v>46127</v>
      </c>
      <c r="BK7" s="99">
        <f t="shared" ca="1" si="2"/>
        <v>46128</v>
      </c>
      <c r="BL7" s="100">
        <f t="shared" ca="1" si="2"/>
        <v>46129</v>
      </c>
    </row>
    <row r="8" spans="1:68" ht="19.899999999999999" customHeight="1" x14ac:dyDescent="0.3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35">
      <c r="A9" s="10"/>
      <c r="B9" s="114" t="s">
        <v>23</v>
      </c>
      <c r="C9" s="115" t="s">
        <v>7</v>
      </c>
      <c r="D9" s="115" t="s">
        <v>24</v>
      </c>
      <c r="E9" s="115" t="s">
        <v>10</v>
      </c>
      <c r="F9" s="115" t="s">
        <v>11</v>
      </c>
      <c r="G9" s="115" t="s">
        <v>25</v>
      </c>
      <c r="H9" s="88"/>
      <c r="I9" s="106" t="str">
        <f t="shared" ref="I9:BL9" ca="1" si="3">LEFT(TEXT(I7,"ddd"),1)</f>
        <v>S</v>
      </c>
      <c r="J9" s="106" t="str">
        <f t="shared" ca="1" si="3"/>
        <v>S</v>
      </c>
      <c r="K9" s="106" t="str">
        <f t="shared" ca="1" si="3"/>
        <v>M</v>
      </c>
      <c r="L9" s="106" t="str">
        <f t="shared" ca="1" si="3"/>
        <v>T</v>
      </c>
      <c r="M9" s="106" t="str">
        <f t="shared" ca="1" si="3"/>
        <v>W</v>
      </c>
      <c r="N9" s="106" t="str">
        <f t="shared" ca="1" si="3"/>
        <v>T</v>
      </c>
      <c r="O9" s="106" t="str">
        <f t="shared" ca="1" si="3"/>
        <v>F</v>
      </c>
      <c r="P9" s="106" t="str">
        <f t="shared" ca="1" si="3"/>
        <v>S</v>
      </c>
      <c r="Q9" s="106" t="str">
        <f t="shared" ca="1" si="3"/>
        <v>S</v>
      </c>
      <c r="R9" s="106" t="str">
        <f t="shared" ca="1" si="3"/>
        <v>M</v>
      </c>
      <c r="S9" s="106" t="str">
        <f t="shared" ca="1" si="3"/>
        <v>T</v>
      </c>
      <c r="T9" s="106" t="str">
        <f t="shared" ca="1" si="3"/>
        <v>W</v>
      </c>
      <c r="U9" s="106" t="str">
        <f t="shared" ca="1" si="3"/>
        <v>T</v>
      </c>
      <c r="V9" s="106" t="str">
        <f t="shared" ca="1" si="3"/>
        <v>F</v>
      </c>
      <c r="W9" s="106" t="str">
        <f t="shared" ca="1" si="3"/>
        <v>S</v>
      </c>
      <c r="X9" s="106" t="str">
        <f t="shared" ca="1" si="3"/>
        <v>S</v>
      </c>
      <c r="Y9" s="106" t="str">
        <f t="shared" ca="1" si="3"/>
        <v>M</v>
      </c>
      <c r="Z9" s="106" t="str">
        <f t="shared" ca="1" si="3"/>
        <v>T</v>
      </c>
      <c r="AA9" s="106" t="str">
        <f t="shared" ca="1" si="3"/>
        <v>W</v>
      </c>
      <c r="AB9" s="106" t="str">
        <f t="shared" ca="1" si="3"/>
        <v>T</v>
      </c>
      <c r="AC9" s="106" t="str">
        <f t="shared" ca="1" si="3"/>
        <v>F</v>
      </c>
      <c r="AD9" s="106" t="str">
        <f t="shared" ca="1" si="3"/>
        <v>S</v>
      </c>
      <c r="AE9" s="106" t="str">
        <f t="shared" ca="1" si="3"/>
        <v>S</v>
      </c>
      <c r="AF9" s="106" t="str">
        <f t="shared" ca="1" si="3"/>
        <v>M</v>
      </c>
      <c r="AG9" s="106" t="str">
        <f t="shared" ca="1" si="3"/>
        <v>T</v>
      </c>
      <c r="AH9" s="106" t="str">
        <f t="shared" ca="1" si="3"/>
        <v>W</v>
      </c>
      <c r="AI9" s="106" t="str">
        <f t="shared" ca="1" si="3"/>
        <v>T</v>
      </c>
      <c r="AJ9" s="106" t="str">
        <f t="shared" ca="1" si="3"/>
        <v>F</v>
      </c>
      <c r="AK9" s="106" t="str">
        <f t="shared" ca="1" si="3"/>
        <v>S</v>
      </c>
      <c r="AL9" s="106" t="str">
        <f t="shared" ca="1" si="3"/>
        <v>S</v>
      </c>
      <c r="AM9" s="106" t="str">
        <f t="shared" ca="1" si="3"/>
        <v>M</v>
      </c>
      <c r="AN9" s="106" t="str">
        <f t="shared" ca="1" si="3"/>
        <v>T</v>
      </c>
      <c r="AO9" s="106" t="str">
        <f t="shared" ca="1" si="3"/>
        <v>W</v>
      </c>
      <c r="AP9" s="106" t="str">
        <f t="shared" ca="1" si="3"/>
        <v>T</v>
      </c>
      <c r="AQ9" s="106" t="str">
        <f t="shared" ca="1" si="3"/>
        <v>F</v>
      </c>
      <c r="AR9" s="106" t="str">
        <f t="shared" ca="1" si="3"/>
        <v>S</v>
      </c>
      <c r="AS9" s="106" t="str">
        <f t="shared" ca="1" si="3"/>
        <v>S</v>
      </c>
      <c r="AT9" s="106" t="str">
        <f t="shared" ca="1" si="3"/>
        <v>M</v>
      </c>
      <c r="AU9" s="106" t="str">
        <f t="shared" ca="1" si="3"/>
        <v>T</v>
      </c>
      <c r="AV9" s="106" t="str">
        <f t="shared" ca="1" si="3"/>
        <v>W</v>
      </c>
      <c r="AW9" s="106" t="str">
        <f t="shared" ca="1" si="3"/>
        <v>T</v>
      </c>
      <c r="AX9" s="106" t="str">
        <f t="shared" ca="1" si="3"/>
        <v>F</v>
      </c>
      <c r="AY9" s="106" t="str">
        <f t="shared" ca="1" si="3"/>
        <v>S</v>
      </c>
      <c r="AZ9" s="106" t="str">
        <f t="shared" ca="1" si="3"/>
        <v>S</v>
      </c>
      <c r="BA9" s="106" t="str">
        <f t="shared" ca="1" si="3"/>
        <v>M</v>
      </c>
      <c r="BB9" s="106" t="str">
        <f t="shared" ca="1" si="3"/>
        <v>T</v>
      </c>
      <c r="BC9" s="106" t="str">
        <f t="shared" ca="1" si="3"/>
        <v>W</v>
      </c>
      <c r="BD9" s="106" t="str">
        <f t="shared" ca="1" si="3"/>
        <v>T</v>
      </c>
      <c r="BE9" s="106" t="str">
        <f t="shared" ca="1" si="3"/>
        <v>F</v>
      </c>
      <c r="BF9" s="106" t="str">
        <f t="shared" ca="1" si="3"/>
        <v>S</v>
      </c>
      <c r="BG9" s="106" t="str">
        <f t="shared" ca="1" si="3"/>
        <v>S</v>
      </c>
      <c r="BH9" s="106" t="str">
        <f t="shared" ca="1" si="3"/>
        <v>M</v>
      </c>
      <c r="BI9" s="106" t="str">
        <f t="shared" ca="1" si="3"/>
        <v>T</v>
      </c>
      <c r="BJ9" s="106" t="str">
        <f t="shared" ca="1" si="3"/>
        <v>W</v>
      </c>
      <c r="BK9" s="106" t="str">
        <f t="shared" ca="1" si="3"/>
        <v>T</v>
      </c>
      <c r="BL9" s="106" t="str">
        <f t="shared" ca="1" si="3"/>
        <v>F</v>
      </c>
    </row>
    <row r="10" spans="1:68" ht="30" hidden="1" customHeight="1" thickBot="1" x14ac:dyDescent="0.4">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3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35">
      <c r="A12" s="10"/>
      <c r="B12" s="63" t="s">
        <v>37</v>
      </c>
      <c r="C12" s="59" t="s">
        <v>14</v>
      </c>
      <c r="D12" s="59" t="s">
        <v>38</v>
      </c>
      <c r="E12" s="60">
        <v>1</v>
      </c>
      <c r="F12" s="61">
        <f>DATE(2026,2,20)</f>
        <v>46073</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35">
      <c r="A13" s="10"/>
      <c r="B13" s="63" t="s">
        <v>39</v>
      </c>
      <c r="C13" s="59" t="s">
        <v>14</v>
      </c>
      <c r="D13" s="59" t="s">
        <v>40</v>
      </c>
      <c r="E13" s="60">
        <v>1</v>
      </c>
      <c r="F13" s="61">
        <f>DATE(2026,3,4)</f>
        <v>46085</v>
      </c>
      <c r="G13" s="62">
        <v>6</v>
      </c>
      <c r="H13" s="59"/>
      <c r="I13" s="26" t="str">
        <f t="shared" ref="I13:X28" ca="1" si="8">IF(AND($C13="Goal",I$7&gt;=$F13,I$7&lt;=$F13+$G13-1),2,IF(AND($C13="Milestone",I$7&gt;=$F13,I$7&lt;=$F13+$G13-1),1,""))</f>
        <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35">
      <c r="A14" s="9"/>
      <c r="B14" s="63" t="s">
        <v>0</v>
      </c>
      <c r="C14" s="59" t="s">
        <v>14</v>
      </c>
      <c r="D14" s="59"/>
      <c r="E14" s="60">
        <v>0.5</v>
      </c>
      <c r="F14" s="61">
        <f>F12-3</f>
        <v>46070</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35">
      <c r="A15" s="9"/>
      <c r="B15" s="63" t="s">
        <v>1</v>
      </c>
      <c r="C15" s="59" t="s">
        <v>9</v>
      </c>
      <c r="D15" s="59"/>
      <c r="E15" s="60"/>
      <c r="F15" s="61">
        <f>F12+20</f>
        <v>46093</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35">
      <c r="A16" s="9"/>
      <c r="B16" s="63" t="s">
        <v>2</v>
      </c>
      <c r="C16" s="59" t="s">
        <v>13</v>
      </c>
      <c r="D16" s="59"/>
      <c r="E16" s="60">
        <v>0.1</v>
      </c>
      <c r="F16" s="61">
        <f>F12+6</f>
        <v>46079</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3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35">
      <c r="A18" s="10"/>
      <c r="B18" s="63" t="s">
        <v>3</v>
      </c>
      <c r="C18" s="59" t="s">
        <v>15</v>
      </c>
      <c r="D18" s="59"/>
      <c r="E18" s="60">
        <v>0.6</v>
      </c>
      <c r="F18" s="61">
        <f>F12+6</f>
        <v>46079</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35">
      <c r="A19" s="9"/>
      <c r="B19" s="63" t="s">
        <v>4</v>
      </c>
      <c r="C19" s="59" t="s">
        <v>16</v>
      </c>
      <c r="D19" s="59"/>
      <c r="E19" s="60">
        <v>0.5</v>
      </c>
      <c r="F19" s="61">
        <f>F18+2</f>
        <v>46081</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35">
      <c r="A20" s="9"/>
      <c r="B20" s="63" t="s">
        <v>0</v>
      </c>
      <c r="C20" s="59" t="s">
        <v>14</v>
      </c>
      <c r="D20" s="59"/>
      <c r="E20" s="60">
        <v>0.33</v>
      </c>
      <c r="F20" s="61">
        <f>F19+5</f>
        <v>46086</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35">
      <c r="A21" s="9"/>
      <c r="B21" s="63" t="s">
        <v>1</v>
      </c>
      <c r="C21" s="59" t="s">
        <v>9</v>
      </c>
      <c r="D21" s="59"/>
      <c r="E21" s="60"/>
      <c r="F21" s="61">
        <f>F20+2</f>
        <v>46088</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35">
      <c r="A22" s="9"/>
      <c r="B22" s="63" t="s">
        <v>2</v>
      </c>
      <c r="C22" s="59"/>
      <c r="D22" s="59"/>
      <c r="E22" s="60"/>
      <c r="F22" s="61">
        <f>F21+1</f>
        <v>46089</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3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35">
      <c r="A24" s="9"/>
      <c r="B24" s="63" t="s">
        <v>3</v>
      </c>
      <c r="C24" s="59" t="s">
        <v>16</v>
      </c>
      <c r="D24" s="59"/>
      <c r="E24" s="60"/>
      <c r="F24" s="61">
        <f>F12+15</f>
        <v>46088</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35">
      <c r="A25" s="9"/>
      <c r="B25" s="63" t="s">
        <v>4</v>
      </c>
      <c r="C25" s="59" t="s">
        <v>13</v>
      </c>
      <c r="D25" s="59"/>
      <c r="E25" s="60"/>
      <c r="F25" s="61">
        <f>F24+3</f>
        <v>46091</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35">
      <c r="A26" s="9"/>
      <c r="B26" s="63" t="s">
        <v>0</v>
      </c>
      <c r="C26" s="59" t="s">
        <v>16</v>
      </c>
      <c r="D26" s="59"/>
      <c r="E26" s="60"/>
      <c r="F26" s="61">
        <f>F25+15</f>
        <v>46106</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35">
      <c r="A27" s="9"/>
      <c r="B27" s="63" t="s">
        <v>1</v>
      </c>
      <c r="C27" s="59" t="s">
        <v>8</v>
      </c>
      <c r="D27" s="59"/>
      <c r="E27" s="60"/>
      <c r="F27" s="61">
        <f>F21+22</f>
        <v>46110</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35">
      <c r="A28" s="9"/>
      <c r="B28" s="63" t="s">
        <v>2</v>
      </c>
      <c r="C28" s="59" t="s">
        <v>14</v>
      </c>
      <c r="D28" s="59"/>
      <c r="E28" s="60"/>
      <c r="F28" s="61">
        <f>F16</f>
        <v>46079</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3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35">
      <c r="A30" s="9"/>
      <c r="B30" s="63" t="s">
        <v>3</v>
      </c>
      <c r="C30" s="59"/>
      <c r="D30" s="59"/>
      <c r="E30" s="60"/>
      <c r="F30" s="61">
        <f>F27+3</f>
        <v>46113</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35">
      <c r="A31" s="9"/>
      <c r="B31" s="63" t="s">
        <v>4</v>
      </c>
      <c r="C31" s="59"/>
      <c r="D31" s="59"/>
      <c r="E31" s="60"/>
      <c r="F31" s="61">
        <f>F30+14</f>
        <v>46127</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35">
      <c r="A32" s="9"/>
      <c r="B32" s="63" t="s">
        <v>0</v>
      </c>
      <c r="C32" s="59" t="s">
        <v>9</v>
      </c>
      <c r="D32" s="59"/>
      <c r="E32" s="60"/>
      <c r="F32" s="61">
        <f>F31+42</f>
        <v>46169</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3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3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3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3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4" t="s">
        <v>5</v>
      </c>
      <c r="C2" s="134"/>
      <c r="D2" s="134"/>
      <c r="E2" s="134"/>
      <c r="F2" s="134"/>
      <c r="G2" s="134"/>
      <c r="H2" s="134"/>
      <c r="I2" s="135"/>
      <c r="J2" s="135"/>
      <c r="K2" s="135"/>
      <c r="L2" s="135"/>
      <c r="M2" s="135"/>
      <c r="N2" s="135"/>
      <c r="O2" s="136"/>
      <c r="P2" s="137"/>
      <c r="Q2" s="137"/>
      <c r="R2" s="137"/>
      <c r="S2" s="137"/>
      <c r="T2" s="137"/>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35">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35">
      <c r="A4" s="10"/>
      <c r="B4" s="54" t="s">
        <v>22</v>
      </c>
      <c r="C4" s="50"/>
      <c r="D4" s="51"/>
      <c r="E4" s="29"/>
      <c r="F4" s="30"/>
      <c r="G4" s="31" t="s">
        <v>18</v>
      </c>
      <c r="H4" s="29"/>
      <c r="I4" s="131" t="s">
        <v>26</v>
      </c>
      <c r="J4" s="131"/>
      <c r="K4" s="131"/>
      <c r="L4" s="131"/>
      <c r="M4" s="32"/>
      <c r="N4" s="132" t="s">
        <v>27</v>
      </c>
      <c r="O4" s="132"/>
      <c r="P4" s="132"/>
      <c r="Q4" s="132"/>
      <c r="R4" s="32"/>
      <c r="S4" s="133" t="s">
        <v>28</v>
      </c>
      <c r="T4" s="133"/>
      <c r="U4" s="133"/>
      <c r="V4" s="133"/>
      <c r="W4" s="32"/>
      <c r="X4" s="126" t="s">
        <v>29</v>
      </c>
      <c r="Y4" s="126"/>
      <c r="Z4" s="126"/>
      <c r="AA4" s="126"/>
      <c r="AB4" s="32"/>
      <c r="AC4" s="127" t="s">
        <v>19</v>
      </c>
      <c r="AD4" s="127"/>
      <c r="AE4" s="127"/>
      <c r="AF4" s="127"/>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35">
      <c r="A5" s="10"/>
      <c r="B5" s="55" t="s">
        <v>21</v>
      </c>
      <c r="C5" s="52"/>
      <c r="D5" s="52"/>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5">
      <c r="A6" s="10"/>
      <c r="B6" s="49" t="s">
        <v>17</v>
      </c>
      <c r="C6" s="34" cm="1">
        <f t="array" aca="1" ref="C6" ca="1">IFERROR(IF(MIN(Milestones435[Start])=0,TODAY(),B11(Milestones435[Start])),TODAY())</f>
        <v>46140</v>
      </c>
      <c r="D6" s="53"/>
      <c r="E6" s="32"/>
      <c r="F6" s="33"/>
      <c r="G6" s="32"/>
      <c r="H6" s="29"/>
      <c r="I6" s="94" t="str">
        <f ca="1">TEXT(I7,"mmmm")</f>
        <v>April</v>
      </c>
      <c r="J6" s="94"/>
      <c r="K6" s="94"/>
      <c r="L6" s="94"/>
      <c r="M6" s="94"/>
      <c r="N6" s="94"/>
      <c r="O6" s="94"/>
      <c r="P6" s="94" t="str">
        <f ca="1">IF(TEXT(P7,"mmmm")=I6,"",TEXT(P7,"mmmm"))</f>
        <v>May</v>
      </c>
      <c r="Q6" s="94"/>
      <c r="R6" s="94"/>
      <c r="S6" s="94"/>
      <c r="T6" s="94"/>
      <c r="U6" s="94"/>
      <c r="V6" s="94"/>
      <c r="W6" s="94" t="str">
        <f ca="1">IF(OR(TEXT(W7,"mmmm")=P6,TEXT(W7,"mmmm")=I6),"",TEXT(W7,"mmmm"))</f>
        <v/>
      </c>
      <c r="X6" s="94"/>
      <c r="Y6" s="94"/>
      <c r="Z6" s="94"/>
      <c r="AA6" s="94"/>
      <c r="AB6" s="94"/>
      <c r="AC6" s="94"/>
      <c r="AD6" s="94" t="str">
        <f ca="1">IF(OR(TEXT(AD7,"mmmm")=W6,TEXT(AD7,"mmmm")=P6,TEXT(AD7,"mmmm")=I6),"",TEXT(AD7,"mmmm"))</f>
        <v/>
      </c>
      <c r="AE6" s="94"/>
      <c r="AF6" s="94"/>
      <c r="AG6" s="94"/>
      <c r="AH6" s="94"/>
      <c r="AI6" s="94"/>
      <c r="AJ6" s="94"/>
      <c r="AK6" s="94" t="str">
        <f ca="1">IF(OR(TEXT(AK7,"mmmm")=AD6,TEXT(AK7,"mmmm")=W6,TEXT(AK7,"mmmm")=P6,TEXT(AK7,"mmmm")=I6),"",TEXT(AK7,"mmmm"))</f>
        <v/>
      </c>
      <c r="AL6" s="94"/>
      <c r="AM6" s="94"/>
      <c r="AN6" s="94"/>
      <c r="AO6" s="94"/>
      <c r="AP6" s="94"/>
      <c r="AQ6" s="94"/>
      <c r="AR6" s="94" t="str">
        <f ca="1">IF(OR(TEXT(AR7,"mmmm")=AK6,TEXT(AR7,"mmmm")=AD6,TEXT(AR7,"mmmm")=W6,TEXT(AR7,"mmmm")=P6),"",TEXT(AR7,"mmmm"))</f>
        <v>June</v>
      </c>
      <c r="AS6" s="94"/>
      <c r="AT6" s="94"/>
      <c r="AU6" s="94"/>
      <c r="AV6" s="94"/>
      <c r="AW6" s="94"/>
      <c r="AX6" s="94"/>
      <c r="AY6" s="94" t="str">
        <f ca="1">IF(OR(TEXT(AY7,"mmmm")=AR6,TEXT(AY7,"mmmm")=AK6,TEXT(AY7,"mmmm")=AD6,TEXT(AY7,"mmmm")=W6),"",TEXT(AY7,"mmmm"))</f>
        <v/>
      </c>
      <c r="AZ6" s="94"/>
      <c r="BA6" s="94"/>
      <c r="BB6" s="95"/>
      <c r="BC6" s="65"/>
      <c r="BD6" s="65"/>
      <c r="BE6" s="65"/>
      <c r="BF6" s="65" t="str">
        <f ca="1">IF(OR(TEXT(BF7,"mmmm")=AY6,TEXT(BF7,"mmmm")=AR6,TEXT(BF7,"mmmm")=AK6,TEXT(BF7,"mmmm")=AD6),"",TEXT(BF7,"mmmm"))</f>
        <v/>
      </c>
      <c r="BG6" s="65"/>
      <c r="BH6" s="65"/>
      <c r="BI6" s="65"/>
      <c r="BJ6" s="65"/>
      <c r="BK6" s="65"/>
      <c r="BL6" s="65"/>
      <c r="BM6" s="32"/>
    </row>
    <row r="7" spans="1:68" ht="30" customHeight="1" x14ac:dyDescent="0.35">
      <c r="A7" s="10"/>
      <c r="B7" s="49" t="s">
        <v>12</v>
      </c>
      <c r="C7" s="35">
        <v>1</v>
      </c>
      <c r="D7" s="52"/>
      <c r="E7" s="29"/>
      <c r="F7" s="29"/>
      <c r="G7" s="29"/>
      <c r="H7" s="29"/>
      <c r="I7" s="96">
        <f ca="1">IFERROR(Project_Start+Scrolling_Increment,TODAY())</f>
        <v>46141</v>
      </c>
      <c r="J7" s="17">
        <f ca="1">I7+1</f>
        <v>46142</v>
      </c>
      <c r="K7" s="17">
        <f t="shared" ref="K7:AX7" ca="1" si="0">J7+1</f>
        <v>46143</v>
      </c>
      <c r="L7" s="17">
        <f t="shared" ca="1" si="0"/>
        <v>46144</v>
      </c>
      <c r="M7" s="17">
        <f t="shared" ca="1" si="0"/>
        <v>46145</v>
      </c>
      <c r="N7" s="17">
        <f t="shared" ca="1" si="0"/>
        <v>46146</v>
      </c>
      <c r="O7" s="64">
        <f t="shared" ca="1" si="0"/>
        <v>46147</v>
      </c>
      <c r="P7" s="17">
        <f ca="1">O7+1</f>
        <v>46148</v>
      </c>
      <c r="Q7" s="17">
        <f ca="1">P7+1</f>
        <v>46149</v>
      </c>
      <c r="R7" s="17">
        <f t="shared" ca="1" si="0"/>
        <v>46150</v>
      </c>
      <c r="S7" s="17">
        <f t="shared" ca="1" si="0"/>
        <v>46151</v>
      </c>
      <c r="T7" s="17">
        <f t="shared" ca="1" si="0"/>
        <v>46152</v>
      </c>
      <c r="U7" s="17">
        <f t="shared" ca="1" si="0"/>
        <v>46153</v>
      </c>
      <c r="V7" s="64">
        <f t="shared" ca="1" si="0"/>
        <v>46154</v>
      </c>
      <c r="W7" s="17">
        <f ca="1">V7+1</f>
        <v>46155</v>
      </c>
      <c r="X7" s="17">
        <f ca="1">W7+1</f>
        <v>46156</v>
      </c>
      <c r="Y7" s="17">
        <f t="shared" ca="1" si="0"/>
        <v>46157</v>
      </c>
      <c r="Z7" s="17">
        <f t="shared" ca="1" si="0"/>
        <v>46158</v>
      </c>
      <c r="AA7" s="17">
        <f t="shared" ca="1" si="0"/>
        <v>46159</v>
      </c>
      <c r="AB7" s="17">
        <f t="shared" ca="1" si="0"/>
        <v>46160</v>
      </c>
      <c r="AC7" s="64">
        <f t="shared" ca="1" si="0"/>
        <v>46161</v>
      </c>
      <c r="AD7" s="17">
        <f ca="1">AC7+1</f>
        <v>46162</v>
      </c>
      <c r="AE7" s="17">
        <f ca="1">AD7+1</f>
        <v>46163</v>
      </c>
      <c r="AF7" s="17">
        <f t="shared" ca="1" si="0"/>
        <v>46164</v>
      </c>
      <c r="AG7" s="17">
        <f t="shared" ca="1" si="0"/>
        <v>46165</v>
      </c>
      <c r="AH7" s="17">
        <f t="shared" ca="1" si="0"/>
        <v>46166</v>
      </c>
      <c r="AI7" s="17">
        <f t="shared" ca="1" si="0"/>
        <v>46167</v>
      </c>
      <c r="AJ7" s="64">
        <f t="shared" ca="1" si="0"/>
        <v>46168</v>
      </c>
      <c r="AK7" s="17">
        <f ca="1">AJ7+1</f>
        <v>46169</v>
      </c>
      <c r="AL7" s="17">
        <f ca="1">AK7+1</f>
        <v>46170</v>
      </c>
      <c r="AM7" s="17">
        <f t="shared" ca="1" si="0"/>
        <v>46171</v>
      </c>
      <c r="AN7" s="17">
        <f t="shared" ca="1" si="0"/>
        <v>46172</v>
      </c>
      <c r="AO7" s="17">
        <f t="shared" ca="1" si="0"/>
        <v>46173</v>
      </c>
      <c r="AP7" s="17">
        <f t="shared" ca="1" si="0"/>
        <v>46174</v>
      </c>
      <c r="AQ7" s="64">
        <f t="shared" ca="1" si="0"/>
        <v>46175</v>
      </c>
      <c r="AR7" s="17">
        <f ca="1">AQ7+1</f>
        <v>46176</v>
      </c>
      <c r="AS7" s="17">
        <f ca="1">AR7+1</f>
        <v>46177</v>
      </c>
      <c r="AT7" s="17">
        <f t="shared" ca="1" si="0"/>
        <v>46178</v>
      </c>
      <c r="AU7" s="17">
        <f t="shared" ca="1" si="0"/>
        <v>46179</v>
      </c>
      <c r="AV7" s="17">
        <f t="shared" ca="1" si="0"/>
        <v>46180</v>
      </c>
      <c r="AW7" s="17">
        <f t="shared" ca="1" si="0"/>
        <v>46181</v>
      </c>
      <c r="AX7" s="64">
        <f t="shared" ca="1" si="0"/>
        <v>46182</v>
      </c>
      <c r="AY7" s="17">
        <f ca="1">AX7+1</f>
        <v>46183</v>
      </c>
      <c r="AZ7" s="17">
        <f ca="1">AY7+1</f>
        <v>46184</v>
      </c>
      <c r="BA7" s="17">
        <f t="shared" ref="BA7:BE7" ca="1" si="1">AZ7+1</f>
        <v>46185</v>
      </c>
      <c r="BB7" s="17">
        <f t="shared" ca="1" si="1"/>
        <v>46186</v>
      </c>
      <c r="BC7" s="17">
        <f t="shared" ca="1" si="1"/>
        <v>46187</v>
      </c>
      <c r="BD7" s="17">
        <f t="shared" ca="1" si="1"/>
        <v>46188</v>
      </c>
      <c r="BE7" s="64">
        <f t="shared" ca="1" si="1"/>
        <v>46189</v>
      </c>
      <c r="BF7" s="17">
        <f ca="1">BE7+1</f>
        <v>46190</v>
      </c>
      <c r="BG7" s="17">
        <f ca="1">BF7+1</f>
        <v>46191</v>
      </c>
      <c r="BH7" s="17">
        <f t="shared" ref="BH7:BL7" ca="1" si="2">BG7+1</f>
        <v>46192</v>
      </c>
      <c r="BI7" s="17">
        <f t="shared" ca="1" si="2"/>
        <v>46193</v>
      </c>
      <c r="BJ7" s="17">
        <f t="shared" ca="1" si="2"/>
        <v>46194</v>
      </c>
      <c r="BK7" s="17">
        <f t="shared" ca="1" si="2"/>
        <v>46195</v>
      </c>
      <c r="BL7" s="18">
        <f t="shared" ca="1" si="2"/>
        <v>46196</v>
      </c>
      <c r="BM7" s="32"/>
    </row>
    <row r="8" spans="1:68" ht="19.899999999999999" customHeight="1" x14ac:dyDescent="0.35">
      <c r="A8" s="10"/>
      <c r="B8" s="51"/>
      <c r="C8" s="51"/>
      <c r="D8" s="51"/>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15" customHeight="1" x14ac:dyDescent="0.35">
      <c r="A9" s="10"/>
      <c r="B9" s="119" t="s">
        <v>23</v>
      </c>
      <c r="C9" s="120" t="s">
        <v>7</v>
      </c>
      <c r="D9" s="120" t="s">
        <v>24</v>
      </c>
      <c r="E9" s="120" t="s">
        <v>10</v>
      </c>
      <c r="F9" s="120" t="s">
        <v>11</v>
      </c>
      <c r="G9" s="120" t="s">
        <v>25</v>
      </c>
      <c r="H9" s="48"/>
      <c r="I9" s="37" t="str">
        <f t="shared" ref="I9:BL9" ca="1" si="3">LEFT(TEXT(I7,"ddd"),1)</f>
        <v>W</v>
      </c>
      <c r="J9" s="37" t="str">
        <f t="shared" ca="1" si="3"/>
        <v>T</v>
      </c>
      <c r="K9" s="37" t="str">
        <f t="shared" ca="1" si="3"/>
        <v>F</v>
      </c>
      <c r="L9" s="37" t="str">
        <f t="shared" ca="1" si="3"/>
        <v>S</v>
      </c>
      <c r="M9" s="37" t="str">
        <f t="shared" ca="1" si="3"/>
        <v>S</v>
      </c>
      <c r="N9" s="37" t="str">
        <f t="shared" ca="1" si="3"/>
        <v>M</v>
      </c>
      <c r="O9" s="37" t="str">
        <f t="shared" ca="1" si="3"/>
        <v>T</v>
      </c>
      <c r="P9" s="37" t="str">
        <f t="shared" ca="1" si="3"/>
        <v>W</v>
      </c>
      <c r="Q9" s="37" t="str">
        <f t="shared" ca="1" si="3"/>
        <v>T</v>
      </c>
      <c r="R9" s="37" t="str">
        <f t="shared" ca="1" si="3"/>
        <v>F</v>
      </c>
      <c r="S9" s="37" t="str">
        <f t="shared" ca="1" si="3"/>
        <v>S</v>
      </c>
      <c r="T9" s="37" t="str">
        <f t="shared" ca="1" si="3"/>
        <v>S</v>
      </c>
      <c r="U9" s="37" t="str">
        <f t="shared" ca="1" si="3"/>
        <v>M</v>
      </c>
      <c r="V9" s="37" t="str">
        <f t="shared" ca="1" si="3"/>
        <v>T</v>
      </c>
      <c r="W9" s="37" t="str">
        <f t="shared" ca="1" si="3"/>
        <v>W</v>
      </c>
      <c r="X9" s="37" t="str">
        <f t="shared" ca="1" si="3"/>
        <v>T</v>
      </c>
      <c r="Y9" s="37" t="str">
        <f t="shared" ca="1" si="3"/>
        <v>F</v>
      </c>
      <c r="Z9" s="37" t="str">
        <f t="shared" ca="1" si="3"/>
        <v>S</v>
      </c>
      <c r="AA9" s="37" t="str">
        <f t="shared" ca="1" si="3"/>
        <v>S</v>
      </c>
      <c r="AB9" s="37" t="str">
        <f t="shared" ca="1" si="3"/>
        <v>M</v>
      </c>
      <c r="AC9" s="37" t="str">
        <f t="shared" ca="1" si="3"/>
        <v>T</v>
      </c>
      <c r="AD9" s="37" t="str">
        <f t="shared" ca="1" si="3"/>
        <v>W</v>
      </c>
      <c r="AE9" s="37" t="str">
        <f t="shared" ca="1" si="3"/>
        <v>T</v>
      </c>
      <c r="AF9" s="37" t="str">
        <f t="shared" ca="1" si="3"/>
        <v>F</v>
      </c>
      <c r="AG9" s="37" t="str">
        <f t="shared" ca="1" si="3"/>
        <v>S</v>
      </c>
      <c r="AH9" s="37" t="str">
        <f t="shared" ca="1" si="3"/>
        <v>S</v>
      </c>
      <c r="AI9" s="37" t="str">
        <f t="shared" ca="1" si="3"/>
        <v>M</v>
      </c>
      <c r="AJ9" s="37" t="str">
        <f t="shared" ca="1" si="3"/>
        <v>T</v>
      </c>
      <c r="AK9" s="37" t="str">
        <f t="shared" ca="1" si="3"/>
        <v>W</v>
      </c>
      <c r="AL9" s="37" t="str">
        <f t="shared" ca="1" si="3"/>
        <v>T</v>
      </c>
      <c r="AM9" s="37" t="str">
        <f t="shared" ca="1" si="3"/>
        <v>F</v>
      </c>
      <c r="AN9" s="37" t="str">
        <f t="shared" ca="1" si="3"/>
        <v>S</v>
      </c>
      <c r="AO9" s="37" t="str">
        <f t="shared" ca="1" si="3"/>
        <v>S</v>
      </c>
      <c r="AP9" s="37" t="str">
        <f t="shared" ca="1" si="3"/>
        <v>M</v>
      </c>
      <c r="AQ9" s="37" t="str">
        <f t="shared" ca="1" si="3"/>
        <v>T</v>
      </c>
      <c r="AR9" s="37" t="str">
        <f t="shared" ca="1" si="3"/>
        <v>W</v>
      </c>
      <c r="AS9" s="37" t="str">
        <f t="shared" ca="1" si="3"/>
        <v>T</v>
      </c>
      <c r="AT9" s="37" t="str">
        <f t="shared" ca="1" si="3"/>
        <v>F</v>
      </c>
      <c r="AU9" s="37" t="str">
        <f t="shared" ca="1" si="3"/>
        <v>S</v>
      </c>
      <c r="AV9" s="37" t="str">
        <f t="shared" ca="1" si="3"/>
        <v>S</v>
      </c>
      <c r="AW9" s="37" t="str">
        <f t="shared" ca="1" si="3"/>
        <v>M</v>
      </c>
      <c r="AX9" s="37" t="str">
        <f t="shared" ca="1" si="3"/>
        <v>T</v>
      </c>
      <c r="AY9" s="37" t="str">
        <f t="shared" ca="1" si="3"/>
        <v>W</v>
      </c>
      <c r="AZ9" s="37" t="str">
        <f t="shared" ca="1" si="3"/>
        <v>T</v>
      </c>
      <c r="BA9" s="37" t="str">
        <f t="shared" ca="1" si="3"/>
        <v>F</v>
      </c>
      <c r="BB9" s="37" t="str">
        <f t="shared" ca="1" si="3"/>
        <v>S</v>
      </c>
      <c r="BC9" s="37" t="str">
        <f t="shared" ca="1" si="3"/>
        <v>S</v>
      </c>
      <c r="BD9" s="37" t="str">
        <f t="shared" ca="1" si="3"/>
        <v>M</v>
      </c>
      <c r="BE9" s="37" t="str">
        <f t="shared" ca="1" si="3"/>
        <v>T</v>
      </c>
      <c r="BF9" s="37" t="str">
        <f t="shared" ca="1" si="3"/>
        <v>W</v>
      </c>
      <c r="BG9" s="37" t="str">
        <f t="shared" ca="1" si="3"/>
        <v>T</v>
      </c>
      <c r="BH9" s="37" t="str">
        <f t="shared" ca="1" si="3"/>
        <v>F</v>
      </c>
      <c r="BI9" s="37" t="str">
        <f t="shared" ca="1" si="3"/>
        <v>S</v>
      </c>
      <c r="BJ9" s="37" t="str">
        <f t="shared" ca="1" si="3"/>
        <v>S</v>
      </c>
      <c r="BK9" s="37" t="str">
        <f t="shared" ca="1" si="3"/>
        <v>M</v>
      </c>
      <c r="BL9" s="37" t="str">
        <f t="shared" ca="1" si="3"/>
        <v>T</v>
      </c>
      <c r="BM9" s="32"/>
    </row>
    <row r="10" spans="1:68" ht="30" hidden="1" customHeight="1" thickBot="1" x14ac:dyDescent="0.4">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15" customHeight="1" x14ac:dyDescent="0.35">
      <c r="A11" s="10"/>
      <c r="B11" s="121" t="s">
        <v>30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15" customHeight="1" x14ac:dyDescent="0.35">
      <c r="A12" s="10"/>
      <c r="B12" s="25" t="s">
        <v>3</v>
      </c>
      <c r="C12" s="21" t="s">
        <v>8</v>
      </c>
      <c r="D12" s="21" t="s">
        <v>6</v>
      </c>
      <c r="E12" s="22">
        <v>0.25</v>
      </c>
      <c r="F12" s="23">
        <f ca="1">TODAY()</f>
        <v>46140</v>
      </c>
      <c r="G12" s="24">
        <v>3</v>
      </c>
      <c r="H12" s="19"/>
      <c r="I12" s="47">
        <f ca="1">IF(AND($C12="Goal",I$7&gt;=$F12,I$7&lt;=$F12+$G12-1),2,IF(AND($C12="Milestone",I$7&gt;=$F12,I$7&lt;=$F12+$G12-1),1,""))</f>
        <v>2</v>
      </c>
      <c r="J12" s="27">
        <f t="shared" ca="1" si="4"/>
        <v>2</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15" customHeight="1" x14ac:dyDescent="0.35">
      <c r="A13" s="10"/>
      <c r="B13" s="25" t="s">
        <v>4</v>
      </c>
      <c r="C13" s="21" t="s">
        <v>9</v>
      </c>
      <c r="D13" s="21"/>
      <c r="E13" s="22"/>
      <c r="F13" s="23">
        <f ca="1">TODAY()+5</f>
        <v>46145</v>
      </c>
      <c r="G13" s="24">
        <v>1</v>
      </c>
      <c r="H13" s="19"/>
      <c r="I13" s="47" t="str">
        <f t="shared" ref="I13:X28" ca="1" si="8">IF(AND($C13="Goal",I$7&gt;=$F13,I$7&lt;=$F13+$G13-1),2,IF(AND($C13="Milestone",I$7&gt;=$F13,I$7&lt;=$F13+$G13-1),1,""))</f>
        <v/>
      </c>
      <c r="J13" s="27" t="str">
        <f t="shared" ca="1" si="4"/>
        <v/>
      </c>
      <c r="K13" s="27" t="str">
        <f t="shared" ca="1" si="4"/>
        <v/>
      </c>
      <c r="L13" s="27" t="str">
        <f t="shared" ca="1" si="4"/>
        <v/>
      </c>
      <c r="M13" s="27">
        <f t="shared" ca="1" si="4"/>
        <v>1</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15" customHeight="1" x14ac:dyDescent="0.35">
      <c r="A14" s="9"/>
      <c r="B14" s="25" t="s">
        <v>0</v>
      </c>
      <c r="C14" s="21" t="s">
        <v>14</v>
      </c>
      <c r="D14" s="21"/>
      <c r="E14" s="22">
        <v>0.5</v>
      </c>
      <c r="F14" s="23">
        <f ca="1">F12-3</f>
        <v>46137</v>
      </c>
      <c r="G14" s="24">
        <v>10</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15" customHeight="1" x14ac:dyDescent="0.35">
      <c r="A15" s="9"/>
      <c r="B15" s="25" t="s">
        <v>1</v>
      </c>
      <c r="C15" s="21" t="s">
        <v>9</v>
      </c>
      <c r="D15" s="21"/>
      <c r="E15" s="22"/>
      <c r="F15" s="23">
        <f ca="1">F12+20</f>
        <v>46160</v>
      </c>
      <c r="G15" s="24">
        <v>1</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f t="shared" ca="1" si="5"/>
        <v>1</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15" customHeight="1" x14ac:dyDescent="0.35">
      <c r="A16" s="9"/>
      <c r="B16" s="25" t="s">
        <v>2</v>
      </c>
      <c r="C16" s="21" t="s">
        <v>13</v>
      </c>
      <c r="D16" s="21"/>
      <c r="E16" s="22">
        <v>0.1</v>
      </c>
      <c r="F16" s="23">
        <f ca="1">F12+6</f>
        <v>46146</v>
      </c>
      <c r="G16" s="24">
        <v>6</v>
      </c>
      <c r="H16" s="19"/>
      <c r="I16" s="47" t="str">
        <f t="shared" ca="1" si="8"/>
        <v/>
      </c>
      <c r="J16" s="27" t="str">
        <f t="shared" ca="1" si="4"/>
        <v/>
      </c>
      <c r="K16" s="27" t="str">
        <f t="shared" ca="1" si="4"/>
        <v/>
      </c>
      <c r="L16" s="27" t="str">
        <f t="shared" ca="1" si="4"/>
        <v/>
      </c>
      <c r="M16" s="27" t="str">
        <f t="shared" ca="1" si="4"/>
        <v/>
      </c>
      <c r="N16" s="27" t="str">
        <f t="shared" ca="1" si="4"/>
        <v/>
      </c>
      <c r="O16" s="27" t="str">
        <f t="shared" ca="1" si="4"/>
        <v/>
      </c>
      <c r="P16" s="27" t="str">
        <f t="shared" ca="1" si="4"/>
        <v/>
      </c>
      <c r="Q16" s="27" t="str">
        <f t="shared" ca="1" si="4"/>
        <v/>
      </c>
      <c r="R16" s="27" t="str">
        <f t="shared" ca="1" si="4"/>
        <v/>
      </c>
      <c r="S16" s="27" t="str">
        <f t="shared" ca="1" si="4"/>
        <v/>
      </c>
      <c r="T16" s="27" t="str">
        <f t="shared" ca="1" si="4"/>
        <v/>
      </c>
      <c r="U16" s="27" t="str">
        <f t="shared" ca="1" si="4"/>
        <v/>
      </c>
      <c r="V16" s="27" t="str">
        <f t="shared" ca="1" si="4"/>
        <v/>
      </c>
      <c r="W16" s="27" t="str">
        <f t="shared" ca="1" si="4"/>
        <v/>
      </c>
      <c r="X16" s="27" t="str">
        <f t="shared" ca="1" si="4"/>
        <v/>
      </c>
      <c r="Y16" s="27" t="str">
        <f t="shared" ca="1" si="5"/>
        <v/>
      </c>
      <c r="Z16" s="27" t="str">
        <f t="shared" ca="1" si="5"/>
        <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15" customHeight="1" x14ac:dyDescent="0.35">
      <c r="A17" s="10"/>
      <c r="B17" s="121" t="s">
        <v>31</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15" customHeight="1" x14ac:dyDescent="0.35">
      <c r="A18" s="10"/>
      <c r="B18" s="25" t="s">
        <v>3</v>
      </c>
      <c r="C18" s="21" t="s">
        <v>15</v>
      </c>
      <c r="D18" s="21"/>
      <c r="E18" s="22">
        <v>0.6</v>
      </c>
      <c r="F18" s="23">
        <f ca="1">F12+6</f>
        <v>46146</v>
      </c>
      <c r="G18" s="24">
        <v>13</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15" customHeight="1" x14ac:dyDescent="0.35">
      <c r="A19" s="9"/>
      <c r="B19" s="25" t="s">
        <v>4</v>
      </c>
      <c r="C19" s="21" t="s">
        <v>16</v>
      </c>
      <c r="D19" s="21"/>
      <c r="E19" s="22">
        <v>0.5</v>
      </c>
      <c r="F19" s="23">
        <f ca="1">F18+2</f>
        <v>46148</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15" customHeight="1" x14ac:dyDescent="0.35">
      <c r="A20" s="9"/>
      <c r="B20" s="25" t="s">
        <v>0</v>
      </c>
      <c r="C20" s="21" t="s">
        <v>14</v>
      </c>
      <c r="D20" s="21"/>
      <c r="E20" s="22">
        <v>0.33</v>
      </c>
      <c r="F20" s="23">
        <f ca="1">F19+5</f>
        <v>46153</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15" customHeight="1" x14ac:dyDescent="0.35">
      <c r="A21" s="9"/>
      <c r="B21" s="25" t="s">
        <v>1</v>
      </c>
      <c r="C21" s="21" t="s">
        <v>9</v>
      </c>
      <c r="D21" s="21"/>
      <c r="E21" s="22"/>
      <c r="F21" s="23">
        <f ca="1">F20+2</f>
        <v>46155</v>
      </c>
      <c r="G21" s="24">
        <v>1</v>
      </c>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f t="shared" ca="1" si="4"/>
        <v>1</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15" customHeight="1" x14ac:dyDescent="0.35">
      <c r="A22" s="9"/>
      <c r="B22" s="25" t="s">
        <v>2</v>
      </c>
      <c r="C22" s="21"/>
      <c r="D22" s="21"/>
      <c r="E22" s="22"/>
      <c r="F22" s="23">
        <f ca="1">F21+1</f>
        <v>46156</v>
      </c>
      <c r="G22" s="24">
        <v>24</v>
      </c>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15" customHeight="1" x14ac:dyDescent="0.35">
      <c r="A23" s="9"/>
      <c r="B23" s="121" t="s">
        <v>32</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15" customHeight="1" x14ac:dyDescent="0.35">
      <c r="A24" s="9"/>
      <c r="B24" s="25" t="s">
        <v>3</v>
      </c>
      <c r="C24" s="21" t="s">
        <v>16</v>
      </c>
      <c r="D24" s="21"/>
      <c r="E24" s="22"/>
      <c r="F24" s="23">
        <f ca="1">F12+15</f>
        <v>46155</v>
      </c>
      <c r="G24" s="24">
        <v>4</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15" customHeight="1" x14ac:dyDescent="0.35">
      <c r="A25" s="9"/>
      <c r="B25" s="25" t="s">
        <v>4</v>
      </c>
      <c r="C25" s="21" t="s">
        <v>13</v>
      </c>
      <c r="D25" s="21"/>
      <c r="E25" s="22"/>
      <c r="F25" s="23">
        <f ca="1">F24+3</f>
        <v>46158</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15" customHeight="1" x14ac:dyDescent="0.35">
      <c r="A26" s="9"/>
      <c r="B26" s="25" t="s">
        <v>0</v>
      </c>
      <c r="C26" s="21" t="s">
        <v>16</v>
      </c>
      <c r="D26" s="21"/>
      <c r="E26" s="22"/>
      <c r="F26" s="23">
        <f ca="1">F25+15</f>
        <v>46173</v>
      </c>
      <c r="G26" s="24">
        <v>6</v>
      </c>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15" customHeight="1" x14ac:dyDescent="0.35">
      <c r="A27" s="9"/>
      <c r="B27" s="25" t="s">
        <v>1</v>
      </c>
      <c r="C27" s="21" t="s">
        <v>8</v>
      </c>
      <c r="D27" s="21"/>
      <c r="E27" s="22"/>
      <c r="F27" s="23">
        <f ca="1">F21+22</f>
        <v>46177</v>
      </c>
      <c r="G27" s="24">
        <v>3</v>
      </c>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f t="shared" ca="1" si="9"/>
        <v>2</v>
      </c>
      <c r="AT27" s="27">
        <f t="shared" ca="1" si="9"/>
        <v>2</v>
      </c>
      <c r="AU27" s="27">
        <f t="shared" ca="1" si="9"/>
        <v>2</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15" customHeight="1" x14ac:dyDescent="0.35">
      <c r="A28" s="9"/>
      <c r="B28" s="25" t="s">
        <v>2</v>
      </c>
      <c r="C28" s="21" t="s">
        <v>14</v>
      </c>
      <c r="D28" s="21"/>
      <c r="E28" s="22"/>
      <c r="F28" s="23">
        <f ca="1">F16</f>
        <v>46146</v>
      </c>
      <c r="G28" s="24">
        <v>19</v>
      </c>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15" customHeight="1" x14ac:dyDescent="0.35">
      <c r="A29" s="9"/>
      <c r="B29" s="121" t="s">
        <v>33</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15" customHeight="1" x14ac:dyDescent="0.35">
      <c r="A30" s="9"/>
      <c r="B30" s="25" t="s">
        <v>3</v>
      </c>
      <c r="C30" s="21"/>
      <c r="D30" s="21"/>
      <c r="E30" s="22"/>
      <c r="F30" s="23">
        <f ca="1">F27+3</f>
        <v>46180</v>
      </c>
      <c r="G30" s="24">
        <v>15</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t="str">
        <f t="shared" ca="1" si="12"/>
        <v/>
      </c>
      <c r="W30" s="27" t="str">
        <f t="shared" ca="1" si="12"/>
        <v/>
      </c>
      <c r="X30" s="27" t="str">
        <f t="shared" ca="1" si="12"/>
        <v/>
      </c>
      <c r="Y30" s="27" t="str">
        <f t="shared" ca="1" si="11"/>
        <v/>
      </c>
      <c r="Z30" s="27" t="str">
        <f t="shared" ca="1" si="11"/>
        <v/>
      </c>
      <c r="AA30" s="27" t="str">
        <f t="shared" ca="1" si="11"/>
        <v/>
      </c>
      <c r="AB30" s="27" t="str">
        <f t="shared" ca="1" si="11"/>
        <v/>
      </c>
      <c r="AC30" s="27" t="str">
        <f t="shared" ca="1" si="11"/>
        <v/>
      </c>
      <c r="AD30" s="27" t="str">
        <f t="shared" ca="1" si="11"/>
        <v/>
      </c>
      <c r="AE30" s="27" t="str">
        <f t="shared" ca="1" si="11"/>
        <v/>
      </c>
      <c r="AF30" s="27" t="str">
        <f t="shared" ca="1" si="11"/>
        <v/>
      </c>
      <c r="AG30" s="27" t="str">
        <f t="shared" ca="1" si="11"/>
        <v/>
      </c>
      <c r="AH30" s="27" t="str">
        <f t="shared" ca="1" si="11"/>
        <v/>
      </c>
      <c r="AI30" s="27" t="str">
        <f t="shared" ca="1" si="11"/>
        <v/>
      </c>
      <c r="AJ30" s="27" t="str">
        <f t="shared" ca="1" si="11"/>
        <v/>
      </c>
      <c r="AK30" s="27" t="str">
        <f t="shared" ca="1" si="11"/>
        <v/>
      </c>
      <c r="AL30" s="27" t="str">
        <f t="shared" ca="1" si="11"/>
        <v/>
      </c>
      <c r="AM30" s="27" t="str">
        <f t="shared" ca="1" si="11"/>
        <v/>
      </c>
      <c r="AN30" s="27" t="str">
        <f t="shared" ca="1" si="9"/>
        <v/>
      </c>
      <c r="AO30" s="27" t="str">
        <f t="shared" ca="1" si="9"/>
        <v/>
      </c>
      <c r="AP30" s="27" t="str">
        <f t="shared" ca="1" si="9"/>
        <v/>
      </c>
      <c r="AQ30" s="27" t="str">
        <f t="shared" ca="1" si="9"/>
        <v/>
      </c>
      <c r="AR30" s="27" t="str">
        <f t="shared" ca="1" si="9"/>
        <v/>
      </c>
      <c r="AS30" s="27" t="str">
        <f t="shared" ca="1" si="9"/>
        <v/>
      </c>
      <c r="AT30" s="27" t="str">
        <f t="shared" ca="1" si="9"/>
        <v/>
      </c>
      <c r="AU30" s="27" t="str">
        <f t="shared" ca="1" si="9"/>
        <v/>
      </c>
      <c r="AV30" s="27" t="str">
        <f t="shared" ca="1" si="9"/>
        <v/>
      </c>
      <c r="AW30" s="27" t="str">
        <f t="shared" ca="1" si="9"/>
        <v/>
      </c>
      <c r="AX30" s="27" t="str">
        <f t="shared" ca="1" si="9"/>
        <v/>
      </c>
      <c r="AY30" s="27" t="str">
        <f t="shared" ca="1" si="9"/>
        <v/>
      </c>
      <c r="AZ30" s="27" t="str">
        <f t="shared" ca="1" si="9"/>
        <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15" customHeight="1" x14ac:dyDescent="0.35">
      <c r="A31" s="9"/>
      <c r="B31" s="25" t="s">
        <v>4</v>
      </c>
      <c r="C31" s="21"/>
      <c r="D31" s="21"/>
      <c r="E31" s="22"/>
      <c r="F31" s="23">
        <f ca="1">F30+14</f>
        <v>46194</v>
      </c>
      <c r="G31" s="24">
        <v>5</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t="str">
        <f t="shared" ca="1" si="11"/>
        <v/>
      </c>
      <c r="AB31" s="27" t="str">
        <f t="shared" ca="1" si="11"/>
        <v/>
      </c>
      <c r="AC31" s="27" t="str">
        <f t="shared" ca="1" si="11"/>
        <v/>
      </c>
      <c r="AD31" s="27" t="str">
        <f t="shared" ca="1" si="11"/>
        <v/>
      </c>
      <c r="AE31" s="27" t="str">
        <f t="shared" ca="1" si="11"/>
        <v/>
      </c>
      <c r="AF31" s="27" t="str">
        <f t="shared" ca="1" si="11"/>
        <v/>
      </c>
      <c r="AG31" s="27" t="str">
        <f t="shared" ca="1" si="11"/>
        <v/>
      </c>
      <c r="AH31" s="27" t="str">
        <f t="shared" ca="1" si="11"/>
        <v/>
      </c>
      <c r="AI31" s="27" t="str">
        <f t="shared" ca="1" si="11"/>
        <v/>
      </c>
      <c r="AJ31" s="27" t="str">
        <f t="shared" ca="1" si="11"/>
        <v/>
      </c>
      <c r="AK31" s="27" t="str">
        <f t="shared" ca="1" si="11"/>
        <v/>
      </c>
      <c r="AL31" s="27" t="str">
        <f t="shared" ca="1" si="11"/>
        <v/>
      </c>
      <c r="AM31" s="27" t="str">
        <f t="shared" ca="1" si="11"/>
        <v/>
      </c>
      <c r="AN31" s="27" t="str">
        <f t="shared" ca="1" si="9"/>
        <v/>
      </c>
      <c r="AO31" s="27" t="str">
        <f t="shared" ca="1" si="9"/>
        <v/>
      </c>
      <c r="AP31" s="27" t="str">
        <f t="shared" ca="1" si="9"/>
        <v/>
      </c>
      <c r="AQ31" s="27" t="str">
        <f t="shared" ca="1" si="9"/>
        <v/>
      </c>
      <c r="AR31" s="27" t="str">
        <f t="shared" ca="1" si="9"/>
        <v/>
      </c>
      <c r="AS31" s="27" t="str">
        <f t="shared" ca="1" si="9"/>
        <v/>
      </c>
      <c r="AT31" s="27" t="str">
        <f t="shared" ca="1" si="9"/>
        <v/>
      </c>
      <c r="AU31" s="27" t="str">
        <f t="shared" ca="1" si="9"/>
        <v/>
      </c>
      <c r="AV31" s="27" t="str">
        <f t="shared" ca="1" si="9"/>
        <v/>
      </c>
      <c r="AW31" s="27" t="str">
        <f t="shared" ca="1" si="9"/>
        <v/>
      </c>
      <c r="AX31" s="27" t="str">
        <f t="shared" ca="1" si="9"/>
        <v/>
      </c>
      <c r="AY31" s="27" t="str">
        <f t="shared" ca="1" si="9"/>
        <v/>
      </c>
      <c r="AZ31" s="27" t="str">
        <f t="shared" ca="1" si="9"/>
        <v/>
      </c>
      <c r="BA31" s="27" t="str">
        <f t="shared" ca="1" si="9"/>
        <v/>
      </c>
      <c r="BB31" s="27" t="str">
        <f t="shared" ca="1" si="9"/>
        <v/>
      </c>
      <c r="BC31" s="27" t="str">
        <f t="shared" ca="1" si="9"/>
        <v/>
      </c>
      <c r="BD31" s="27" t="str">
        <f t="shared" ca="1" si="10"/>
        <v/>
      </c>
      <c r="BE31" s="27" t="str">
        <f t="shared" ca="1" si="10"/>
        <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15" customHeight="1" x14ac:dyDescent="0.35">
      <c r="A32" s="9"/>
      <c r="B32" s="25" t="s">
        <v>0</v>
      </c>
      <c r="C32" s="21" t="s">
        <v>9</v>
      </c>
      <c r="D32" s="21"/>
      <c r="E32" s="22"/>
      <c r="F32" s="23">
        <f ca="1">F31+42</f>
        <v>46236</v>
      </c>
      <c r="G32" s="24">
        <v>1</v>
      </c>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15" customHeight="1" x14ac:dyDescent="0.35">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15" customHeight="1" x14ac:dyDescent="0.35">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15" customHeight="1" x14ac:dyDescent="0.35">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6"/>
    </row>
    <row r="36" spans="1:65" s="1" customFormat="1" ht="40.15" customHeight="1" x14ac:dyDescent="0.35">
      <c r="A36" s="10"/>
      <c r="B36" s="117" t="s">
        <v>20</v>
      </c>
      <c r="C36" s="56"/>
      <c r="D36" s="56"/>
      <c r="E36" s="32"/>
      <c r="F36" s="57"/>
      <c r="G36" s="58"/>
      <c r="H36" s="19"/>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28"/>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topLeftCell="A9" zoomScale="6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8" t="s">
        <v>5</v>
      </c>
      <c r="C2" s="138"/>
      <c r="D2" s="138"/>
      <c r="E2" s="138"/>
      <c r="F2" s="138"/>
      <c r="G2" s="138"/>
      <c r="H2" s="138"/>
      <c r="I2" s="139"/>
      <c r="J2" s="139"/>
      <c r="K2" s="139"/>
      <c r="L2" s="139"/>
      <c r="M2" s="139"/>
      <c r="N2" s="139"/>
      <c r="O2" s="140"/>
      <c r="P2" s="140"/>
      <c r="Q2" s="140"/>
      <c r="R2" s="140"/>
      <c r="S2" s="140"/>
      <c r="T2" s="140"/>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row>
    <row r="3" spans="1:68" ht="19.899999999999999" customHeight="1" x14ac:dyDescent="0.35">
      <c r="A3" s="10"/>
      <c r="B3" s="68"/>
      <c r="C3" s="69"/>
      <c r="D3" s="70"/>
      <c r="E3" s="70"/>
      <c r="F3" s="71"/>
      <c r="G3" s="70"/>
      <c r="H3" s="70"/>
      <c r="I3" s="84"/>
      <c r="J3" s="1"/>
      <c r="K3" s="1"/>
      <c r="L3" s="1"/>
    </row>
    <row r="4" spans="1:68" ht="30" customHeight="1" x14ac:dyDescent="0.35">
      <c r="A4" s="10"/>
      <c r="B4" s="72" t="s">
        <v>22</v>
      </c>
      <c r="C4" s="73"/>
      <c r="D4" s="74"/>
      <c r="E4" s="75"/>
      <c r="F4" s="76"/>
      <c r="G4" s="77" t="s">
        <v>18</v>
      </c>
      <c r="H4" s="75"/>
      <c r="I4" s="131" t="s">
        <v>26</v>
      </c>
      <c r="J4" s="131"/>
      <c r="K4" s="131"/>
      <c r="L4" s="131"/>
      <c r="N4" s="132" t="s">
        <v>27</v>
      </c>
      <c r="O4" s="132"/>
      <c r="P4" s="132"/>
      <c r="Q4" s="132"/>
      <c r="S4" s="133" t="s">
        <v>28</v>
      </c>
      <c r="T4" s="133"/>
      <c r="U4" s="133"/>
      <c r="V4" s="133"/>
      <c r="X4" s="126" t="s">
        <v>29</v>
      </c>
      <c r="Y4" s="126"/>
      <c r="Z4" s="126"/>
      <c r="AA4" s="126"/>
      <c r="AC4" s="127" t="s">
        <v>19</v>
      </c>
      <c r="AD4" s="127"/>
      <c r="AE4" s="127"/>
      <c r="AF4" s="127"/>
    </row>
    <row r="5" spans="1:68" ht="30" customHeight="1" x14ac:dyDescent="0.35">
      <c r="A5" s="10"/>
      <c r="B5" s="78" t="s">
        <v>21</v>
      </c>
      <c r="C5" s="74"/>
      <c r="D5" s="74"/>
      <c r="E5" s="75"/>
      <c r="F5" s="76"/>
      <c r="G5" s="75"/>
      <c r="H5" s="75"/>
    </row>
    <row r="6" spans="1:68" ht="30" customHeight="1" x14ac:dyDescent="0.5">
      <c r="A6" s="10"/>
      <c r="B6" s="79" t="s">
        <v>17</v>
      </c>
      <c r="C6" s="80" cm="1">
        <f t="array" aca="1" ref="C6" ca="1">IFERROR(IF(MIN(Milestones43524[Start])=0,TODAY(),B11(Milestones43524[Start])),TODAY())</f>
        <v>46140</v>
      </c>
      <c r="D6" s="81"/>
      <c r="E6" s="75"/>
      <c r="F6" s="76"/>
      <c r="G6" s="75"/>
      <c r="H6" s="75"/>
      <c r="I6" s="91" t="str">
        <f ca="1">TEXT(I7,"mmmm")</f>
        <v>May</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June</v>
      </c>
      <c r="AS6" s="91"/>
      <c r="AT6" s="91"/>
      <c r="AU6" s="91"/>
      <c r="AV6" s="91"/>
      <c r="AW6" s="91"/>
      <c r="AX6" s="92"/>
      <c r="AY6" s="92" t="str">
        <f ca="1">IF(OR(TEXT(AY7,"mmmm")=AR6,TEXT(AY7,"mmmm")=AK6,TEXT(AY7,"mmmm")=AD6,TEXT(AY7,"mmmm")=W6),"",TEXT(AY7,"mmmm"))</f>
        <v/>
      </c>
      <c r="AZ6" s="92"/>
      <c r="BA6" s="92"/>
      <c r="BB6" s="93"/>
      <c r="BC6" s="90"/>
      <c r="BD6" s="90"/>
      <c r="BE6" s="90"/>
      <c r="BF6" s="90" t="str">
        <f ca="1">IF(OR(TEXT(BF7,"mmmm")=AY6,TEXT(BF7,"mmmm")=AR6,TEXT(BF7,"mmmm")=AK6,TEXT(BF7,"mmmm")=AD6),"",TEXT(BF7,"mmmm"))</f>
        <v/>
      </c>
      <c r="BG6" s="90"/>
      <c r="BH6" s="90"/>
      <c r="BI6" s="90"/>
      <c r="BJ6" s="90"/>
      <c r="BK6" s="90"/>
      <c r="BL6" s="90"/>
    </row>
    <row r="7" spans="1:68" ht="30" customHeight="1" x14ac:dyDescent="0.35">
      <c r="A7" s="10"/>
      <c r="B7" s="79" t="s">
        <v>12</v>
      </c>
      <c r="C7" s="82">
        <v>5</v>
      </c>
      <c r="D7" s="74"/>
      <c r="E7" s="75"/>
      <c r="F7" s="75"/>
      <c r="G7" s="75"/>
      <c r="H7" s="83"/>
      <c r="I7" s="98">
        <f ca="1">IFERROR(Project_Start+Scrolling_Increment,TODAY())</f>
        <v>46145</v>
      </c>
      <c r="J7" s="99">
        <f ca="1">I7+1</f>
        <v>46146</v>
      </c>
      <c r="K7" s="99">
        <f t="shared" ref="K7:AX7" ca="1" si="0">J7+1</f>
        <v>46147</v>
      </c>
      <c r="L7" s="99">
        <f t="shared" ca="1" si="0"/>
        <v>46148</v>
      </c>
      <c r="M7" s="99">
        <f t="shared" ca="1" si="0"/>
        <v>46149</v>
      </c>
      <c r="N7" s="99">
        <f t="shared" ca="1" si="0"/>
        <v>46150</v>
      </c>
      <c r="O7" s="100">
        <f t="shared" ca="1" si="0"/>
        <v>46151</v>
      </c>
      <c r="P7" s="99">
        <f ca="1">O7+1</f>
        <v>46152</v>
      </c>
      <c r="Q7" s="99">
        <f ca="1">P7+1</f>
        <v>46153</v>
      </c>
      <c r="R7" s="99">
        <f t="shared" ca="1" si="0"/>
        <v>46154</v>
      </c>
      <c r="S7" s="99">
        <f t="shared" ca="1" si="0"/>
        <v>46155</v>
      </c>
      <c r="T7" s="99">
        <f t="shared" ca="1" si="0"/>
        <v>46156</v>
      </c>
      <c r="U7" s="99">
        <f t="shared" ca="1" si="0"/>
        <v>46157</v>
      </c>
      <c r="V7" s="100">
        <f t="shared" ca="1" si="0"/>
        <v>46158</v>
      </c>
      <c r="W7" s="99">
        <f ca="1">V7+1</f>
        <v>46159</v>
      </c>
      <c r="X7" s="99">
        <f ca="1">W7+1</f>
        <v>46160</v>
      </c>
      <c r="Y7" s="99">
        <f t="shared" ca="1" si="0"/>
        <v>46161</v>
      </c>
      <c r="Z7" s="99">
        <f t="shared" ca="1" si="0"/>
        <v>46162</v>
      </c>
      <c r="AA7" s="99">
        <f t="shared" ca="1" si="0"/>
        <v>46163</v>
      </c>
      <c r="AB7" s="99">
        <f t="shared" ca="1" si="0"/>
        <v>46164</v>
      </c>
      <c r="AC7" s="100">
        <f t="shared" ca="1" si="0"/>
        <v>46165</v>
      </c>
      <c r="AD7" s="99">
        <f ca="1">AC7+1</f>
        <v>46166</v>
      </c>
      <c r="AE7" s="99">
        <f ca="1">AD7+1</f>
        <v>46167</v>
      </c>
      <c r="AF7" s="99">
        <f t="shared" ca="1" si="0"/>
        <v>46168</v>
      </c>
      <c r="AG7" s="99">
        <f t="shared" ca="1" si="0"/>
        <v>46169</v>
      </c>
      <c r="AH7" s="99">
        <f t="shared" ca="1" si="0"/>
        <v>46170</v>
      </c>
      <c r="AI7" s="99">
        <f t="shared" ca="1" si="0"/>
        <v>46171</v>
      </c>
      <c r="AJ7" s="100">
        <f t="shared" ca="1" si="0"/>
        <v>46172</v>
      </c>
      <c r="AK7" s="99">
        <f ca="1">AJ7+1</f>
        <v>46173</v>
      </c>
      <c r="AL7" s="99">
        <f ca="1">AK7+1</f>
        <v>46174</v>
      </c>
      <c r="AM7" s="99">
        <f t="shared" ca="1" si="0"/>
        <v>46175</v>
      </c>
      <c r="AN7" s="99">
        <f t="shared" ca="1" si="0"/>
        <v>46176</v>
      </c>
      <c r="AO7" s="99">
        <f t="shared" ca="1" si="0"/>
        <v>46177</v>
      </c>
      <c r="AP7" s="99">
        <f t="shared" ca="1" si="0"/>
        <v>46178</v>
      </c>
      <c r="AQ7" s="100">
        <f t="shared" ca="1" si="0"/>
        <v>46179</v>
      </c>
      <c r="AR7" s="99">
        <f ca="1">AQ7+1</f>
        <v>46180</v>
      </c>
      <c r="AS7" s="99">
        <f ca="1">AR7+1</f>
        <v>46181</v>
      </c>
      <c r="AT7" s="99">
        <f t="shared" ca="1" si="0"/>
        <v>46182</v>
      </c>
      <c r="AU7" s="99">
        <f t="shared" ca="1" si="0"/>
        <v>46183</v>
      </c>
      <c r="AV7" s="99">
        <f t="shared" ca="1" si="0"/>
        <v>46184</v>
      </c>
      <c r="AW7" s="99">
        <f t="shared" ca="1" si="0"/>
        <v>46185</v>
      </c>
      <c r="AX7" s="100">
        <f t="shared" ca="1" si="0"/>
        <v>46186</v>
      </c>
      <c r="AY7" s="99">
        <f ca="1">AX7+1</f>
        <v>46187</v>
      </c>
      <c r="AZ7" s="99">
        <f ca="1">AY7+1</f>
        <v>46188</v>
      </c>
      <c r="BA7" s="99">
        <f t="shared" ref="BA7:BE7" ca="1" si="1">AZ7+1</f>
        <v>46189</v>
      </c>
      <c r="BB7" s="99">
        <f t="shared" ca="1" si="1"/>
        <v>46190</v>
      </c>
      <c r="BC7" s="99">
        <f t="shared" ca="1" si="1"/>
        <v>46191</v>
      </c>
      <c r="BD7" s="99">
        <f t="shared" ca="1" si="1"/>
        <v>46192</v>
      </c>
      <c r="BE7" s="100">
        <f t="shared" ca="1" si="1"/>
        <v>46193</v>
      </c>
      <c r="BF7" s="99">
        <f ca="1">BE7+1</f>
        <v>46194</v>
      </c>
      <c r="BG7" s="99">
        <f ca="1">BF7+1</f>
        <v>46195</v>
      </c>
      <c r="BH7" s="99">
        <f t="shared" ref="BH7:BL7" ca="1" si="2">BG7+1</f>
        <v>46196</v>
      </c>
      <c r="BI7" s="99">
        <f t="shared" ca="1" si="2"/>
        <v>46197</v>
      </c>
      <c r="BJ7" s="99">
        <f t="shared" ca="1" si="2"/>
        <v>46198</v>
      </c>
      <c r="BK7" s="99">
        <f t="shared" ca="1" si="2"/>
        <v>46199</v>
      </c>
      <c r="BL7" s="100">
        <f t="shared" ca="1" si="2"/>
        <v>46200</v>
      </c>
    </row>
    <row r="8" spans="1:68" ht="19.899999999999999" customHeight="1" x14ac:dyDescent="0.35">
      <c r="A8" s="10"/>
      <c r="B8" s="74"/>
      <c r="C8" s="74"/>
      <c r="D8" s="74"/>
      <c r="E8" s="75"/>
      <c r="F8" s="75"/>
      <c r="G8" s="75"/>
      <c r="H8" s="83"/>
      <c r="I8" s="101"/>
      <c r="J8" s="102"/>
      <c r="K8" s="102"/>
      <c r="L8" s="102"/>
      <c r="M8" s="102"/>
      <c r="N8" s="102"/>
      <c r="O8" s="102"/>
      <c r="P8" s="103"/>
      <c r="Q8" s="102"/>
      <c r="R8" s="102"/>
      <c r="S8" s="102"/>
      <c r="T8" s="102"/>
      <c r="U8" s="102"/>
      <c r="V8" s="104"/>
      <c r="W8" s="102"/>
      <c r="X8" s="102"/>
      <c r="Y8" s="102"/>
      <c r="Z8" s="102"/>
      <c r="AA8" s="102"/>
      <c r="AB8" s="102"/>
      <c r="AC8" s="104"/>
      <c r="AD8" s="102"/>
      <c r="AE8" s="102"/>
      <c r="AF8" s="102"/>
      <c r="AG8" s="102"/>
      <c r="AH8" s="102"/>
      <c r="AI8" s="102"/>
      <c r="AJ8" s="104"/>
      <c r="AK8" s="102"/>
      <c r="AL8" s="102"/>
      <c r="AM8" s="102"/>
      <c r="AN8" s="102"/>
      <c r="AO8" s="102"/>
      <c r="AP8" s="102"/>
      <c r="AQ8" s="104"/>
      <c r="AR8" s="102"/>
      <c r="AS8" s="102"/>
      <c r="AT8" s="102"/>
      <c r="AU8" s="102"/>
      <c r="AV8" s="102"/>
      <c r="AW8" s="102"/>
      <c r="AX8" s="104"/>
      <c r="AY8" s="102"/>
      <c r="AZ8" s="102"/>
      <c r="BA8" s="102"/>
      <c r="BB8" s="102"/>
      <c r="BC8" s="102"/>
      <c r="BD8" s="102"/>
      <c r="BE8" s="104"/>
      <c r="BF8" s="102"/>
      <c r="BG8" s="102"/>
      <c r="BH8" s="102"/>
      <c r="BI8" s="102"/>
      <c r="BJ8" s="102"/>
      <c r="BK8" s="102"/>
      <c r="BL8" s="105"/>
    </row>
    <row r="9" spans="1:68" ht="40.15" customHeight="1" x14ac:dyDescent="0.35">
      <c r="A9" s="10"/>
      <c r="B9" s="122" t="s">
        <v>23</v>
      </c>
      <c r="C9" s="123" t="s">
        <v>7</v>
      </c>
      <c r="D9" s="123" t="s">
        <v>24</v>
      </c>
      <c r="E9" s="123" t="s">
        <v>10</v>
      </c>
      <c r="F9" s="123" t="s">
        <v>11</v>
      </c>
      <c r="G9" s="123" t="s">
        <v>25</v>
      </c>
      <c r="H9" s="88"/>
      <c r="I9" s="106" t="str">
        <f t="shared" ref="I9:BL9" ca="1" si="3">LEFT(TEXT(I7,"ddd"),1)</f>
        <v>S</v>
      </c>
      <c r="J9" s="106" t="str">
        <f t="shared" ca="1" si="3"/>
        <v>M</v>
      </c>
      <c r="K9" s="106" t="str">
        <f t="shared" ca="1" si="3"/>
        <v>T</v>
      </c>
      <c r="L9" s="106" t="str">
        <f t="shared" ca="1" si="3"/>
        <v>W</v>
      </c>
      <c r="M9" s="106" t="str">
        <f t="shared" ca="1" si="3"/>
        <v>T</v>
      </c>
      <c r="N9" s="106" t="str">
        <f t="shared" ca="1" si="3"/>
        <v>F</v>
      </c>
      <c r="O9" s="106" t="str">
        <f t="shared" ca="1" si="3"/>
        <v>S</v>
      </c>
      <c r="P9" s="106" t="str">
        <f t="shared" ca="1" si="3"/>
        <v>S</v>
      </c>
      <c r="Q9" s="106" t="str">
        <f t="shared" ca="1" si="3"/>
        <v>M</v>
      </c>
      <c r="R9" s="106" t="str">
        <f t="shared" ca="1" si="3"/>
        <v>T</v>
      </c>
      <c r="S9" s="106" t="str">
        <f t="shared" ca="1" si="3"/>
        <v>W</v>
      </c>
      <c r="T9" s="106" t="str">
        <f t="shared" ca="1" si="3"/>
        <v>T</v>
      </c>
      <c r="U9" s="106" t="str">
        <f t="shared" ca="1" si="3"/>
        <v>F</v>
      </c>
      <c r="V9" s="106" t="str">
        <f t="shared" ca="1" si="3"/>
        <v>S</v>
      </c>
      <c r="W9" s="106" t="str">
        <f t="shared" ca="1" si="3"/>
        <v>S</v>
      </c>
      <c r="X9" s="106" t="str">
        <f t="shared" ca="1" si="3"/>
        <v>M</v>
      </c>
      <c r="Y9" s="106" t="str">
        <f t="shared" ca="1" si="3"/>
        <v>T</v>
      </c>
      <c r="Z9" s="106" t="str">
        <f t="shared" ca="1" si="3"/>
        <v>W</v>
      </c>
      <c r="AA9" s="106" t="str">
        <f t="shared" ca="1" si="3"/>
        <v>T</v>
      </c>
      <c r="AB9" s="106" t="str">
        <f t="shared" ca="1" si="3"/>
        <v>F</v>
      </c>
      <c r="AC9" s="106" t="str">
        <f t="shared" ca="1" si="3"/>
        <v>S</v>
      </c>
      <c r="AD9" s="106" t="str">
        <f t="shared" ca="1" si="3"/>
        <v>S</v>
      </c>
      <c r="AE9" s="106" t="str">
        <f t="shared" ca="1" si="3"/>
        <v>M</v>
      </c>
      <c r="AF9" s="106" t="str">
        <f t="shared" ca="1" si="3"/>
        <v>T</v>
      </c>
      <c r="AG9" s="106" t="str">
        <f t="shared" ca="1" si="3"/>
        <v>W</v>
      </c>
      <c r="AH9" s="106" t="str">
        <f t="shared" ca="1" si="3"/>
        <v>T</v>
      </c>
      <c r="AI9" s="106" t="str">
        <f t="shared" ca="1" si="3"/>
        <v>F</v>
      </c>
      <c r="AJ9" s="106" t="str">
        <f t="shared" ca="1" si="3"/>
        <v>S</v>
      </c>
      <c r="AK9" s="106" t="str">
        <f t="shared" ca="1" si="3"/>
        <v>S</v>
      </c>
      <c r="AL9" s="106" t="str">
        <f t="shared" ca="1" si="3"/>
        <v>M</v>
      </c>
      <c r="AM9" s="106" t="str">
        <f t="shared" ca="1" si="3"/>
        <v>T</v>
      </c>
      <c r="AN9" s="106" t="str">
        <f t="shared" ca="1" si="3"/>
        <v>W</v>
      </c>
      <c r="AO9" s="106" t="str">
        <f t="shared" ca="1" si="3"/>
        <v>T</v>
      </c>
      <c r="AP9" s="106" t="str">
        <f t="shared" ca="1" si="3"/>
        <v>F</v>
      </c>
      <c r="AQ9" s="106" t="str">
        <f t="shared" ca="1" si="3"/>
        <v>S</v>
      </c>
      <c r="AR9" s="106" t="str">
        <f t="shared" ca="1" si="3"/>
        <v>S</v>
      </c>
      <c r="AS9" s="106" t="str">
        <f t="shared" ca="1" si="3"/>
        <v>M</v>
      </c>
      <c r="AT9" s="106" t="str">
        <f t="shared" ca="1" si="3"/>
        <v>T</v>
      </c>
      <c r="AU9" s="106" t="str">
        <f t="shared" ca="1" si="3"/>
        <v>W</v>
      </c>
      <c r="AV9" s="106" t="str">
        <f t="shared" ca="1" si="3"/>
        <v>T</v>
      </c>
      <c r="AW9" s="106" t="str">
        <f t="shared" ca="1" si="3"/>
        <v>F</v>
      </c>
      <c r="AX9" s="106" t="str">
        <f t="shared" ca="1" si="3"/>
        <v>S</v>
      </c>
      <c r="AY9" s="106" t="str">
        <f t="shared" ca="1" si="3"/>
        <v>S</v>
      </c>
      <c r="AZ9" s="106" t="str">
        <f t="shared" ca="1" si="3"/>
        <v>M</v>
      </c>
      <c r="BA9" s="106" t="str">
        <f t="shared" ca="1" si="3"/>
        <v>T</v>
      </c>
      <c r="BB9" s="106" t="str">
        <f t="shared" ca="1" si="3"/>
        <v>W</v>
      </c>
      <c r="BC9" s="106" t="str">
        <f t="shared" ca="1" si="3"/>
        <v>T</v>
      </c>
      <c r="BD9" s="106" t="str">
        <f t="shared" ca="1" si="3"/>
        <v>F</v>
      </c>
      <c r="BE9" s="106" t="str">
        <f t="shared" ca="1" si="3"/>
        <v>S</v>
      </c>
      <c r="BF9" s="106" t="str">
        <f t="shared" ca="1" si="3"/>
        <v>S</v>
      </c>
      <c r="BG9" s="106" t="str">
        <f t="shared" ca="1" si="3"/>
        <v>M</v>
      </c>
      <c r="BH9" s="106" t="str">
        <f t="shared" ca="1" si="3"/>
        <v>T</v>
      </c>
      <c r="BI9" s="106" t="str">
        <f t="shared" ca="1" si="3"/>
        <v>W</v>
      </c>
      <c r="BJ9" s="106" t="str">
        <f t="shared" ca="1" si="3"/>
        <v>T</v>
      </c>
      <c r="BK9" s="106" t="str">
        <f t="shared" ca="1" si="3"/>
        <v>F</v>
      </c>
      <c r="BL9" s="106" t="str">
        <f t="shared" ca="1" si="3"/>
        <v>S</v>
      </c>
    </row>
    <row r="10" spans="1:68" ht="30" hidden="1" customHeight="1" thickBot="1" x14ac:dyDescent="0.4">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35">
      <c r="A11" s="10"/>
      <c r="B11" s="116" t="s">
        <v>30</v>
      </c>
      <c r="C11" s="59"/>
      <c r="D11" s="59"/>
      <c r="E11" s="60"/>
      <c r="F11" s="61"/>
      <c r="G11" s="62"/>
      <c r="H11" s="59"/>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35">
      <c r="A12" s="10"/>
      <c r="B12" s="63" t="s">
        <v>3</v>
      </c>
      <c r="C12" s="59" t="s">
        <v>8</v>
      </c>
      <c r="D12" s="59" t="s">
        <v>6</v>
      </c>
      <c r="E12" s="60">
        <v>0.25</v>
      </c>
      <c r="F12" s="61">
        <f ca="1">TODAY()</f>
        <v>46140</v>
      </c>
      <c r="G12" s="62">
        <v>3</v>
      </c>
      <c r="H12" s="59"/>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35">
      <c r="A13" s="10"/>
      <c r="B13" s="63" t="s">
        <v>4</v>
      </c>
      <c r="C13" s="59" t="s">
        <v>9</v>
      </c>
      <c r="D13" s="59"/>
      <c r="E13" s="60"/>
      <c r="F13" s="61">
        <f ca="1">TODAY()+5</f>
        <v>46145</v>
      </c>
      <c r="G13" s="62">
        <v>1</v>
      </c>
      <c r="H13" s="59"/>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35">
      <c r="A14" s="9"/>
      <c r="B14" s="63" t="s">
        <v>0</v>
      </c>
      <c r="C14" s="59" t="s">
        <v>14</v>
      </c>
      <c r="D14" s="59"/>
      <c r="E14" s="60">
        <v>0.5</v>
      </c>
      <c r="F14" s="61">
        <f ca="1">F12-3</f>
        <v>46137</v>
      </c>
      <c r="G14" s="62">
        <v>10</v>
      </c>
      <c r="H14" s="59"/>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35">
      <c r="A15" s="9"/>
      <c r="B15" s="63" t="s">
        <v>1</v>
      </c>
      <c r="C15" s="59" t="s">
        <v>9</v>
      </c>
      <c r="D15" s="59"/>
      <c r="E15" s="60"/>
      <c r="F15" s="61">
        <f ca="1">F12+20</f>
        <v>46160</v>
      </c>
      <c r="G15" s="62">
        <v>1</v>
      </c>
      <c r="H15" s="59"/>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35">
      <c r="A16" s="9"/>
      <c r="B16" s="63" t="s">
        <v>2</v>
      </c>
      <c r="C16" s="59" t="s">
        <v>13</v>
      </c>
      <c r="D16" s="59"/>
      <c r="E16" s="60">
        <v>0.1</v>
      </c>
      <c r="F16" s="61">
        <f ca="1">F12+6</f>
        <v>46146</v>
      </c>
      <c r="G16" s="62">
        <v>6</v>
      </c>
      <c r="H16" s="59"/>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35">
      <c r="A17" s="10"/>
      <c r="B17" s="116" t="s">
        <v>31</v>
      </c>
      <c r="C17" s="59"/>
      <c r="D17" s="59"/>
      <c r="E17" s="60"/>
      <c r="F17" s="61"/>
      <c r="G17" s="62"/>
      <c r="H17" s="59"/>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35">
      <c r="A18" s="10"/>
      <c r="B18" s="63" t="s">
        <v>3</v>
      </c>
      <c r="C18" s="59" t="s">
        <v>15</v>
      </c>
      <c r="D18" s="59"/>
      <c r="E18" s="60">
        <v>0.6</v>
      </c>
      <c r="F18" s="61">
        <f ca="1">F12+6</f>
        <v>46146</v>
      </c>
      <c r="G18" s="62">
        <v>13</v>
      </c>
      <c r="H18" s="59"/>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35">
      <c r="A19" s="9"/>
      <c r="B19" s="63" t="s">
        <v>4</v>
      </c>
      <c r="C19" s="59" t="s">
        <v>16</v>
      </c>
      <c r="D19" s="59"/>
      <c r="E19" s="60">
        <v>0.5</v>
      </c>
      <c r="F19" s="61">
        <f ca="1">F18+2</f>
        <v>46148</v>
      </c>
      <c r="G19" s="62">
        <v>9</v>
      </c>
      <c r="H19" s="59"/>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35">
      <c r="A20" s="9"/>
      <c r="B20" s="63" t="s">
        <v>0</v>
      </c>
      <c r="C20" s="59" t="s">
        <v>14</v>
      </c>
      <c r="D20" s="59"/>
      <c r="E20" s="60">
        <v>0.33</v>
      </c>
      <c r="F20" s="61">
        <f ca="1">F19+5</f>
        <v>46153</v>
      </c>
      <c r="G20" s="62">
        <v>11</v>
      </c>
      <c r="H20" s="59"/>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35">
      <c r="A21" s="9"/>
      <c r="B21" s="63" t="s">
        <v>1</v>
      </c>
      <c r="C21" s="59" t="s">
        <v>9</v>
      </c>
      <c r="D21" s="59"/>
      <c r="E21" s="60"/>
      <c r="F21" s="61">
        <f ca="1">F20+2</f>
        <v>46155</v>
      </c>
      <c r="G21" s="62">
        <v>1</v>
      </c>
      <c r="H21" s="59"/>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35">
      <c r="A22" s="9"/>
      <c r="B22" s="63" t="s">
        <v>2</v>
      </c>
      <c r="C22" s="59"/>
      <c r="D22" s="59"/>
      <c r="E22" s="60"/>
      <c r="F22" s="61">
        <f ca="1">F21+1</f>
        <v>46156</v>
      </c>
      <c r="G22" s="62">
        <v>24</v>
      </c>
      <c r="H22" s="59"/>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35">
      <c r="A23" s="9"/>
      <c r="B23" s="116" t="s">
        <v>32</v>
      </c>
      <c r="C23" s="59"/>
      <c r="D23" s="59"/>
      <c r="E23" s="60"/>
      <c r="F23" s="61"/>
      <c r="G23" s="62"/>
      <c r="H23" s="59"/>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35">
      <c r="A24" s="9"/>
      <c r="B24" s="63" t="s">
        <v>3</v>
      </c>
      <c r="C24" s="59" t="s">
        <v>16</v>
      </c>
      <c r="D24" s="59"/>
      <c r="E24" s="60"/>
      <c r="F24" s="61">
        <f ca="1">F12+15</f>
        <v>46155</v>
      </c>
      <c r="G24" s="62">
        <v>4</v>
      </c>
      <c r="H24" s="59"/>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35">
      <c r="A25" s="9"/>
      <c r="B25" s="63" t="s">
        <v>4</v>
      </c>
      <c r="C25" s="59" t="s">
        <v>13</v>
      </c>
      <c r="D25" s="59"/>
      <c r="E25" s="60"/>
      <c r="F25" s="61">
        <f ca="1">F24+3</f>
        <v>46158</v>
      </c>
      <c r="G25" s="62">
        <v>14</v>
      </c>
      <c r="H25" s="59"/>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35">
      <c r="A26" s="9"/>
      <c r="B26" s="63" t="s">
        <v>0</v>
      </c>
      <c r="C26" s="59" t="s">
        <v>16</v>
      </c>
      <c r="D26" s="59"/>
      <c r="E26" s="60"/>
      <c r="F26" s="61">
        <f ca="1">F25+15</f>
        <v>46173</v>
      </c>
      <c r="G26" s="62">
        <v>6</v>
      </c>
      <c r="H26" s="59"/>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35">
      <c r="A27" s="9"/>
      <c r="B27" s="63" t="s">
        <v>1</v>
      </c>
      <c r="C27" s="59" t="s">
        <v>8</v>
      </c>
      <c r="D27" s="59"/>
      <c r="E27" s="60"/>
      <c r="F27" s="61">
        <f ca="1">F21+22</f>
        <v>46177</v>
      </c>
      <c r="G27" s="62">
        <v>3</v>
      </c>
      <c r="H27" s="59"/>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35">
      <c r="A28" s="9"/>
      <c r="B28" s="63" t="s">
        <v>2</v>
      </c>
      <c r="C28" s="59" t="s">
        <v>14</v>
      </c>
      <c r="D28" s="59"/>
      <c r="E28" s="60"/>
      <c r="F28" s="61">
        <f ca="1">F16</f>
        <v>46146</v>
      </c>
      <c r="G28" s="62">
        <v>19</v>
      </c>
      <c r="H28" s="59"/>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35">
      <c r="A29" s="9"/>
      <c r="B29" s="116" t="s">
        <v>33</v>
      </c>
      <c r="C29" s="59"/>
      <c r="D29" s="59"/>
      <c r="E29" s="60"/>
      <c r="F29" s="61"/>
      <c r="G29" s="62"/>
      <c r="H29" s="59"/>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35">
      <c r="A30" s="9"/>
      <c r="B30" s="63" t="s">
        <v>3</v>
      </c>
      <c r="C30" s="59"/>
      <c r="D30" s="59"/>
      <c r="E30" s="60"/>
      <c r="F30" s="61">
        <f ca="1">F27+3</f>
        <v>46180</v>
      </c>
      <c r="G30" s="62">
        <v>15</v>
      </c>
      <c r="H30" s="59"/>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35">
      <c r="A31" s="9"/>
      <c r="B31" s="63" t="s">
        <v>4</v>
      </c>
      <c r="C31" s="59"/>
      <c r="D31" s="59"/>
      <c r="E31" s="60"/>
      <c r="F31" s="61">
        <f ca="1">F30+14</f>
        <v>46194</v>
      </c>
      <c r="G31" s="62">
        <v>5</v>
      </c>
      <c r="H31" s="59"/>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35">
      <c r="A32" s="9"/>
      <c r="B32" s="63" t="s">
        <v>0</v>
      </c>
      <c r="C32" s="59" t="s">
        <v>9</v>
      </c>
      <c r="D32" s="59"/>
      <c r="E32" s="60"/>
      <c r="F32" s="61">
        <f ca="1">F31+42</f>
        <v>46236</v>
      </c>
      <c r="G32" s="62">
        <v>1</v>
      </c>
      <c r="H32" s="59"/>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35">
      <c r="A33" s="9"/>
      <c r="B33" s="63" t="s">
        <v>1</v>
      </c>
      <c r="C33" s="59"/>
      <c r="D33" s="59"/>
      <c r="E33" s="60"/>
      <c r="F33" s="61"/>
      <c r="G33" s="62"/>
      <c r="H33" s="59"/>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35">
      <c r="A34" s="9"/>
      <c r="B34" s="63" t="s">
        <v>2</v>
      </c>
      <c r="C34" s="59"/>
      <c r="D34" s="59"/>
      <c r="E34" s="60"/>
      <c r="F34" s="61"/>
      <c r="G34" s="62"/>
      <c r="H34" s="59"/>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35">
      <c r="A35" s="9"/>
      <c r="B35" s="63"/>
      <c r="C35" s="59"/>
      <c r="D35" s="59"/>
      <c r="E35" s="60"/>
      <c r="F35" s="61"/>
      <c r="G35" s="62"/>
      <c r="H35" s="59"/>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9"/>
    </row>
    <row r="36" spans="1:65" s="1" customFormat="1" ht="40.15" customHeight="1" x14ac:dyDescent="0.35">
      <c r="A36" s="10"/>
      <c r="B36" s="118" t="s">
        <v>20</v>
      </c>
      <c r="C36" s="59"/>
      <c r="D36" s="59"/>
      <c r="E36" s="75"/>
      <c r="F36" s="85"/>
      <c r="G36" s="86"/>
      <c r="H36" s="59"/>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2026-04-28T00:17:51Z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