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ustinct\OneDrive\Desktop\Notes\Programing Funtanmentals\Sem 2\"/>
    </mc:Choice>
  </mc:AlternateContent>
  <xr:revisionPtr revIDLastSave="0" documentId="13_ncr:1_{733D0D02-3483-4813-B800-7B4B6311EAB1}" xr6:coauthVersionLast="47" xr6:coauthVersionMax="47" xr10:uidLastSave="{00000000-0000-0000-0000-000000000000}"/>
  <bookViews>
    <workbookView xWindow="-108" yWindow="-108" windowWidth="23256" windowHeight="12456" tabRatio="500" activeTab="1" xr2:uid="{00000000-000D-0000-FFFF-FFFF00000000}"/>
  </bookViews>
  <sheets>
    <sheet name="Example risk register" sheetId="1" r:id="rId1"/>
    <sheet name="BLANK - Risk Reg" sheetId="2" r:id="rId2"/>
    <sheet name="Dropdown Keys – DO NOT DELETE –" sheetId="3" r:id="rId3"/>
  </sheets>
  <definedNames>
    <definedName name="_xlnm.Print_Area" localSheetId="1">'BLANK - Risk Reg'!$B$4:$N$34</definedName>
    <definedName name="_xlnm.Print_Area" localSheetId="0">'Example risk register'!$B$5:$N$18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7" i="3" l="1"/>
  <c r="K7" i="3"/>
  <c r="J7" i="3"/>
  <c r="I7" i="3"/>
  <c r="H7" i="3"/>
  <c r="L6" i="3"/>
  <c r="K6" i="3"/>
  <c r="J6" i="3"/>
  <c r="I6" i="3"/>
  <c r="H6" i="3"/>
  <c r="L5" i="3"/>
  <c r="K5" i="3"/>
  <c r="J5" i="3"/>
  <c r="I5" i="3"/>
  <c r="H5" i="3"/>
  <c r="L4" i="3"/>
  <c r="K4" i="3"/>
  <c r="J4" i="3"/>
  <c r="I4" i="3"/>
  <c r="H4" i="3"/>
  <c r="L3" i="3"/>
  <c r="K3" i="3"/>
  <c r="J3" i="3"/>
  <c r="I3" i="3"/>
  <c r="H3" i="3"/>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18" i="1"/>
  <c r="H17" i="1"/>
  <c r="H16" i="1"/>
  <c r="H15" i="1"/>
  <c r="H14" i="1"/>
  <c r="H13" i="1"/>
  <c r="H12" i="1"/>
  <c r="H11" i="1"/>
  <c r="H10" i="1"/>
  <c r="H9" i="1"/>
  <c r="H8" i="1"/>
  <c r="H7" i="1"/>
  <c r="H6" i="1"/>
</calcChain>
</file>

<file path=xl/sharedStrings.xml><?xml version="1.0" encoding="utf-8"?>
<sst xmlns="http://schemas.openxmlformats.org/spreadsheetml/2006/main" count="172" uniqueCount="138">
  <si>
    <t>CONSTRUCTION RISK REGISTER EXAMPLE</t>
  </si>
  <si>
    <t xml:space="preserve">Enter Risk Category titles on the 
Dropdown Key tab to populate 
the Risk Register Dropdown Menu. </t>
  </si>
  <si>
    <t>DO NOT ALTER
SCORE CELLS
Outcomes populate automatically.</t>
  </si>
  <si>
    <t>REF ID</t>
  </si>
  <si>
    <t>DATE RAISED</t>
  </si>
  <si>
    <t>RISK CATEGORY</t>
  </si>
  <si>
    <t>RISK DESCRIPTION 
(INCLUDING IF / THEN STATEMENT)</t>
  </si>
  <si>
    <t>PROBABILITY
1 – 5</t>
  </si>
  <si>
    <t>IMPACT
1 – 16</t>
  </si>
  <si>
    <t>RISK SEVERITY SCORE 
Prob  x  Impact</t>
  </si>
  <si>
    <t>LIKELY TIMING OF RISK</t>
  </si>
  <si>
    <t>RISK TRIGGER</t>
  </si>
  <si>
    <t>MITIGATION / RESPONSE PLAN</t>
  </si>
  <si>
    <t>STATUS OF MITIGATION / RESPONSE</t>
  </si>
  <si>
    <t>OWNER</t>
  </si>
  <si>
    <t>OTHER NOTES</t>
  </si>
  <si>
    <t>MM/DD/YY</t>
  </si>
  <si>
    <t>Materials</t>
  </si>
  <si>
    <t>If there are changes in architectural plans that require additional or different resources, then there will be delays.</t>
  </si>
  <si>
    <t>The risk is present throughout the process of finalizing architectural plans.</t>
  </si>
  <si>
    <t>There are changes in the architectural plans.</t>
  </si>
  <si>
    <t>A designated team member will continually monitor any proposed changes in architectural plans and ensure communication between architectural and construction teams about proposed changes.</t>
  </si>
  <si>
    <t>No current issues</t>
  </si>
  <si>
    <t>Joe Smith; architectural liaison</t>
  </si>
  <si>
    <t>Contracts</t>
  </si>
  <si>
    <t>If contractual issues among contractors, subcontractors, or vendors arise, then there will be delays or cost overruns.</t>
  </si>
  <si>
    <t>The risk is present before most contract work commences. However, the risk will also be present when additional contracts are added in the early phases of construction.</t>
  </si>
  <si>
    <t>The contracts manager reports any potential contract issues.</t>
  </si>
  <si>
    <t xml:space="preserve">The contracts manager will continually monitor contracts, alert the team when there are issues, and ensure that the team addresses and resolves contract issues before they cause delays. </t>
  </si>
  <si>
    <t>Working on one unresolved issue with the electrician's contract; meeting set for May 2nd</t>
  </si>
  <si>
    <t>Sue Johnson, contracts manager</t>
  </si>
  <si>
    <t>Permits / Regulations</t>
  </si>
  <si>
    <t>If obtaining appropriate construction permits takes longer than planned, then there will be delays.</t>
  </si>
  <si>
    <t xml:space="preserve">The risk is present throughout the construction phase of the project, including when securing required permits at the beginning of construction. </t>
  </si>
  <si>
    <t>Construction permits do not arrive within the required timeframe.</t>
  </si>
  <si>
    <t>The construction manager, or another designated team member, will monitor the project schedule and deadlines and ensure that all permits can accommodate the project's construction schedule.</t>
  </si>
  <si>
    <t>All deadlines currently being monitored</t>
  </si>
  <si>
    <t>Dale Swenson, construction manager</t>
  </si>
  <si>
    <t>Construction Site</t>
  </si>
  <si>
    <t>If unexpected hazardous waste is found on the property, it will require mitigation or cleanup.</t>
  </si>
  <si>
    <t>The risk is present throughout the project, especially toward the beginning when conducting site preparation work.</t>
  </si>
  <si>
    <t>On-site managers report an issue, especially during site preparation.</t>
  </si>
  <si>
    <t xml:space="preserve">The construction manager will assign a team member to monitor and explore any possible issues with hazardous waste. </t>
  </si>
  <si>
    <t>No issues found to this point</t>
  </si>
  <si>
    <t>Jeff Baker, construction assistant</t>
  </si>
  <si>
    <t>PROJECT RISK REGISTER TEMPLATE</t>
  </si>
  <si>
    <t>R001</t>
  </si>
  <si>
    <t>Communication</t>
  </si>
  <si>
    <t>If group members fail to communicate regularly, then tasks will be duplicated or missed, causing delays to the project.</t>
  </si>
  <si>
    <t>Throughout all iterations, especially during handover between tasks.</t>
  </si>
  <si>
    <t>A member misses a scheduled meeting or does not respond to group messages within 24 hours.</t>
  </si>
  <si>
    <t>Schedule weekly group meetings with a set agenda. Use a shared group chat (e.g. Teams/Discord) for updates. Record all meetings using the Group Meeting Report template.</t>
  </si>
  <si>
    <t>In progress</t>
  </si>
  <si>
    <t>All Members</t>
  </si>
  <si>
    <t>Meeting reports being completed each week as per assignment requirements.</t>
  </si>
  <si>
    <t>R002</t>
  </si>
  <si>
    <t>Version Control</t>
  </si>
  <si>
    <t>If a group member pushes incorrect or incomplete code to the GitHub repository, then it may break the main branch and delay the merge.</t>
  </si>
  <si>
    <t>Iteration 3, when all HTML files are pushed and merged.</t>
  </si>
  <si>
    <t>A push to main causes a build failure or introduces broken links or missing content.</t>
  </si>
  <si>
    <t>Each member tests their HTML file locally before pushing. Use pull requests and peer review before merging into main. Keep backups of working versions.</t>
  </si>
  <si>
    <t>Open</t>
  </si>
  <si>
    <t>GitHub Issues will be raised and tracked if this occurs.</t>
  </si>
  <si>
    <t>R003</t>
  </si>
  <si>
    <t>Scheduling</t>
  </si>
  <si>
    <t>If a group member is unable to complete their assigned task on time, then the overall project timeline will be delayed and deadlines may be missed.</t>
  </si>
  <si>
    <t>All iterations, especially Week 5, Week 9, and Week 12 deadlines.</t>
  </si>
  <si>
    <t>A member reports they cannot complete a task before the agreed deadline.</t>
  </si>
  <si>
    <t>Assign tasks early using the Gantt chart. Check in at each weekly meeting. If a member is behind, redistribute tasks among the group immediately.</t>
  </si>
  <si>
    <t>Task deadlines tracked on GitHub project board.</t>
  </si>
  <si>
    <t>R004</t>
  </si>
  <si>
    <t>Technical</t>
  </si>
  <si>
    <t>If GitHub Pages fails to publish the merged website correctly, then the live site will not be accessible for testing or submission.</t>
  </si>
  <si>
    <t>Iteration 3, Week 11, after merge and publish step.</t>
  </si>
  <si>
    <t>GitHub Pages URL returns a 404 error or pages load incorrectly after publishing.</t>
  </si>
  <si>
    <t>Follow lab session instructions carefully for GitHub Pages setup. Test the published URL immediately after enabling it. Cross-check that all file names and links use correct casing.</t>
  </si>
  <si>
    <t>Refer to Iteration 3 lab sessions for GitHub Pages guidance.</t>
  </si>
  <si>
    <t>R005</t>
  </si>
  <si>
    <t>Merge Conflicts</t>
  </si>
  <si>
    <t>If two or more group members edit the same file or overlapping sections of code, then a merge conflict will occur and delay integration.</t>
  </si>
  <si>
    <t>Iteration 3, when Home.html, Orders.html, and Products.html are merged.</t>
  </si>
  <si>
    <t>GitHub flags a merge conflict when a pull request is submitted.</t>
  </si>
  <si>
    <t>Clearly assign one HTML file per member with no overlap. Communicate before editing shared files. Resolve any conflicts immediately using VS Code merge editor.</t>
  </si>
  <si>
    <t>Each member is responsible for one file: Home.html, Orders.html, or Products.html.</t>
  </si>
  <si>
    <t>R006</t>
  </si>
  <si>
    <t>Quality</t>
  </si>
  <si>
    <t>If the e-commerce website pages contain broken links, missing images, or formatting errors, then the User Acceptance Test will return failures.</t>
  </si>
  <si>
    <t>Iteration 3, Week 11–12, during user acceptance testing.</t>
  </si>
  <si>
    <t>UAT test cases return a Fail result for any page or navigation element.</t>
  </si>
  <si>
    <t>Each member validates their HTML file before pushing. Conduct a group review of the live GitHub Pages site before running formal UAT. Log all failures as GitHub Issues and resolve before submission.</t>
  </si>
  <si>
    <t>UAT results template to be fully completed and submitted.</t>
  </si>
  <si>
    <t>R007</t>
  </si>
  <si>
    <t>Scope</t>
  </si>
  <si>
    <t>If additional features are added to the website beyond the original requirements, then the project scope will expand and deadlines may not be met.</t>
  </si>
  <si>
    <t>Iteration 2 and 3, when development is underway.</t>
  </si>
  <si>
    <t>A group member begins working on features not listed in the Stakeholder Register or Gantt chart.</t>
  </si>
  <si>
    <t>Refer back to the original project requirements and Stakeholder Register before adding any new features. Any changes must be agreed by all members in a group meeting and recorded.</t>
  </si>
  <si>
    <t>Scope is controlled through the GitHub project board and Gantt chart.</t>
  </si>
  <si>
    <t>R008</t>
  </si>
  <si>
    <t>Resource</t>
  </si>
  <si>
    <t>If a group member loses access to the GitHub repository or their development tools fail, then they will be unable to contribute to the project.</t>
  </si>
  <si>
    <t>Any point during Iterations 2 or 3.</t>
  </si>
  <si>
    <t>A member reports they cannot access GitHub or their local development environment.</t>
  </si>
  <si>
    <t>Ensure all members have accepted the GitHub repository invitation and have VS Code and Git installed correctly from Week 1. Share access credentials securely. Another member can assist with pushing files if needed.</t>
  </si>
  <si>
    <t>IT support available through EIT if tools fail.</t>
  </si>
  <si>
    <t>PROJECT RISK REGISTER – MATRIX</t>
  </si>
  <si>
    <t>PROBABILITY | 1 – 5</t>
  </si>
  <si>
    <t>IMPACT | 1 – 16</t>
  </si>
  <si>
    <t>PI SCORES | 1 – 80</t>
  </si>
  <si>
    <t>1 - RARE</t>
  </si>
  <si>
    <t>1 - INSIGNIFICANT</t>
  </si>
  <si>
    <t>1 – 2 • NEGLIGIBLE</t>
  </si>
  <si>
    <t>2 - UNLIKELY</t>
  </si>
  <si>
    <t>2 - MINOR</t>
  </si>
  <si>
    <t>3 – 8 • LOW</t>
  </si>
  <si>
    <t>3 - POSSIBLE</t>
  </si>
  <si>
    <t>4 - MODERATE</t>
  </si>
  <si>
    <t>10 – 16 • MEDIUM</t>
  </si>
  <si>
    <t>4 - LIKELY</t>
  </si>
  <si>
    <t>8 - MAJOR</t>
  </si>
  <si>
    <t>20 – 32 • HIGH</t>
  </si>
  <si>
    <t>5 - ALMOST CERTAIN</t>
  </si>
  <si>
    <t>16 - SEVERE</t>
  </si>
  <si>
    <t>40 – 80 • EXTREME</t>
  </si>
  <si>
    <t>PROBABILITY KEY</t>
  </si>
  <si>
    <t>IMPACT KEY</t>
  </si>
  <si>
    <t xml:space="preserve">Enter Risk Category titles below to populate the Risk Register Dropdown Menu. </t>
  </si>
  <si>
    <t>Category One</t>
  </si>
  <si>
    <t>Category Two</t>
  </si>
  <si>
    <t>Category Three</t>
  </si>
  <si>
    <t>Category Four</t>
  </si>
  <si>
    <t>Category Five</t>
  </si>
  <si>
    <t>Category Six</t>
  </si>
  <si>
    <t>Category Seven</t>
  </si>
  <si>
    <t>Category Eight</t>
  </si>
  <si>
    <t>Category Nine</t>
  </si>
  <si>
    <t>Category Ten</t>
  </si>
  <si>
    <t>28/04/26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</si>
</sst>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8" x14ac:knownFonts="1">
    <font>
      <sz val="12"/>
      <color theme="1"/>
      <name val="Calibri"/>
      <family val="2"/>
      <charset val="1"/>
    </font>
    <font>
      <sz val="11"/>
      <color theme="1"/>
      <name val="Calibri"/>
      <family val="2"/>
      <charset val="1"/>
    </font>
    <font>
      <sz val="12"/>
      <color theme="1"/>
      <name val="Arial"/>
      <family val="2"/>
      <charset val="1"/>
    </font>
    <font>
      <sz val="10"/>
      <color theme="1"/>
      <name val="Century Gothic"/>
      <family val="1"/>
      <charset val="1"/>
    </font>
    <font>
      <b/>
      <sz val="24"/>
      <color theme="1" tint="0.3498947111423078"/>
      <name val="Century Gothic"/>
      <family val="1"/>
      <charset val="1"/>
    </font>
    <font>
      <sz val="12"/>
      <color theme="1"/>
      <name val="Century Gothic"/>
      <family val="1"/>
      <charset val="1"/>
    </font>
    <font>
      <sz val="11"/>
      <color theme="1"/>
      <name val="Century Gothic"/>
      <family val="1"/>
      <charset val="1"/>
    </font>
    <font>
      <b/>
      <sz val="10"/>
      <color theme="1"/>
      <name val="Century Gothic"/>
      <family val="2"/>
      <charset val="1"/>
    </font>
    <font>
      <sz val="11"/>
      <color theme="0"/>
      <name val="Century Gothic"/>
      <family val="2"/>
      <charset val="1"/>
    </font>
    <font>
      <sz val="10"/>
      <color theme="0"/>
      <name val="Century Gothic"/>
      <family val="1"/>
      <charset val="1"/>
    </font>
    <font>
      <b/>
      <sz val="12"/>
      <color theme="1"/>
      <name val="Century Gothic"/>
      <family val="2"/>
      <charset val="1"/>
    </font>
    <font>
      <sz val="13"/>
      <color theme="1"/>
      <name val="Century Gothic"/>
      <family val="1"/>
      <charset val="1"/>
    </font>
    <font>
      <b/>
      <sz val="13"/>
      <color theme="1"/>
      <name val="Century Gothic"/>
      <family val="1"/>
      <charset val="1"/>
    </font>
    <font>
      <b/>
      <sz val="10"/>
      <color theme="0"/>
      <name val="Century Gothic"/>
      <family val="2"/>
      <charset val="1"/>
    </font>
    <font>
      <sz val="10"/>
      <color theme="1"/>
      <name val="Calibri"/>
      <family val="2"/>
      <charset val="1"/>
    </font>
    <font>
      <b/>
      <sz val="11"/>
      <color theme="1"/>
      <name val="Century Gothic"/>
      <family val="1"/>
      <charset val="1"/>
    </font>
    <font>
      <b/>
      <sz val="10"/>
      <color theme="1"/>
      <name val="Century Gothic"/>
      <family val="1"/>
      <charset val="1"/>
    </font>
    <font>
      <b/>
      <sz val="12"/>
      <color theme="1"/>
      <name val="Calibri"/>
      <family val="2"/>
      <charset val="1"/>
    </font>
  </fonts>
  <fills count="23">
    <fill>
      <patternFill patternType="none"/>
    </fill>
    <fill>
      <patternFill patternType="gray125"/>
    </fill>
    <fill>
      <patternFill patternType="solid">
        <fgColor theme="0"/>
        <bgColor rgb="FFF7F9FB"/>
      </patternFill>
    </fill>
    <fill>
      <patternFill patternType="solid">
        <fgColor theme="8" tint="-0.249977111117893"/>
        <bgColor rgb="FF0066CC"/>
      </patternFill>
    </fill>
    <fill>
      <patternFill patternType="solid">
        <fgColor theme="8" tint="-0.499984740745262"/>
        <bgColor rgb="FF333F50"/>
      </patternFill>
    </fill>
    <fill>
      <patternFill patternType="solid">
        <fgColor rgb="FFEAEEF3"/>
        <bgColor rgb="FFE7EBF2"/>
      </patternFill>
    </fill>
    <fill>
      <patternFill patternType="solid">
        <fgColor rgb="FFF7F9FB"/>
        <bgColor rgb="FFF7F9FA"/>
      </patternFill>
    </fill>
    <fill>
      <patternFill patternType="solid">
        <fgColor theme="3" tint="0.79989013336588644"/>
        <bgColor rgb="FFD1D7E1"/>
      </patternFill>
    </fill>
    <fill>
      <patternFill patternType="solid">
        <fgColor theme="8" tint="0.79989013336588644"/>
        <bgColor rgb="FFE7EBF2"/>
      </patternFill>
    </fill>
    <fill>
      <patternFill patternType="solid">
        <fgColor rgb="FFE9F6FD"/>
        <bgColor rgb="FFEAEEF3"/>
      </patternFill>
    </fill>
    <fill>
      <patternFill patternType="solid">
        <fgColor theme="3" tint="-0.249977111117893"/>
        <bgColor rgb="FF1F4E79"/>
      </patternFill>
    </fill>
    <fill>
      <patternFill patternType="solid">
        <fgColor theme="7" tint="0.79989013336588644"/>
        <bgColor rgb="FFFFF1C5"/>
      </patternFill>
    </fill>
    <fill>
      <patternFill patternType="solid">
        <fgColor rgb="FF5AE6D5"/>
        <bgColor rgb="FF4FE3CF"/>
      </patternFill>
    </fill>
    <fill>
      <patternFill patternType="solid">
        <fgColor rgb="FFB5ED46"/>
        <bgColor rgb="FFFFD966"/>
      </patternFill>
    </fill>
    <fill>
      <patternFill patternType="solid">
        <fgColor theme="7" tint="0.59987182226020086"/>
        <bgColor rgb="FFFFE38E"/>
      </patternFill>
    </fill>
    <fill>
      <patternFill patternType="solid">
        <fgColor rgb="FFFFDC00"/>
        <bgColor rgb="FFFFD700"/>
      </patternFill>
    </fill>
    <fill>
      <patternFill patternType="solid">
        <fgColor theme="7" tint="0.39988402966399123"/>
        <bgColor rgb="FFFFD45B"/>
      </patternFill>
    </fill>
    <fill>
      <patternFill patternType="solid">
        <fgColor rgb="FFFFAB00"/>
        <bgColor rgb="FFFFA100"/>
      </patternFill>
    </fill>
    <fill>
      <patternFill patternType="solid">
        <fgColor theme="7"/>
        <bgColor rgb="FFFFB800"/>
      </patternFill>
    </fill>
    <fill>
      <patternFill patternType="solid">
        <fgColor rgb="FFC2C8D0"/>
        <bgColor rgb="FFBAC1CA"/>
      </patternFill>
    </fill>
    <fill>
      <patternFill patternType="solid">
        <fgColor rgb="FFFF0000"/>
        <bgColor rgb="FF800000"/>
      </patternFill>
    </fill>
    <fill>
      <patternFill patternType="solid">
        <fgColor rgb="FFE4AB01"/>
        <bgColor rgb="FFE0A100"/>
      </patternFill>
    </fill>
    <fill>
      <patternFill patternType="solid">
        <fgColor theme="3" tint="0.59987182226020086"/>
        <bgColor rgb="FFA2B1C3"/>
      </patternFill>
    </fill>
  </fills>
  <borders count="7">
    <border>
      <left/>
      <right/>
      <top/>
      <bottom/>
      <diagonal/>
    </border>
    <border>
      <left/>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double">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2">
    <xf numFmtId="0" fontId="0" fillId="0" borderId="0"/>
    <xf numFmtId="0" fontId="1" fillId="0" borderId="0"/>
  </cellStyleXfs>
  <cellXfs count="78">
    <xf numFmtId="0" fontId="0" fillId="0" borderId="0" xfId="0"/>
    <xf numFmtId="0" fontId="5" fillId="0" borderId="1" xfId="0" applyFont="1" applyBorder="1" applyAlignment="1">
      <alignment horizontal="left" vertical="center" wrapText="1"/>
    </xf>
    <xf numFmtId="0" fontId="2" fillId="0" borderId="0" xfId="0" applyFont="1" applyAlignment="1">
      <alignment horizontal="left" wrapText="1" indent="1"/>
    </xf>
    <xf numFmtId="0" fontId="2" fillId="0" borderId="0" xfId="0" applyFont="1" applyAlignment="1">
      <alignment horizontal="center" wrapText="1"/>
    </xf>
    <xf numFmtId="0" fontId="0" fillId="0" borderId="0" xfId="0" applyAlignment="1">
      <alignment horizontal="center" vertical="center"/>
    </xf>
    <xf numFmtId="0" fontId="3" fillId="2" borderId="0" xfId="0" applyFont="1" applyFill="1" applyAlignment="1">
      <alignment wrapText="1"/>
    </xf>
    <xf numFmtId="0" fontId="4" fillId="2" borderId="0" xfId="0" applyFont="1" applyFill="1" applyAlignment="1">
      <alignment vertical="center"/>
    </xf>
    <xf numFmtId="0" fontId="3" fillId="0" borderId="0" xfId="0" applyFont="1" applyAlignment="1">
      <alignment wrapText="1"/>
    </xf>
    <xf numFmtId="0" fontId="3" fillId="0" borderId="0" xfId="0" applyFont="1" applyAlignment="1">
      <alignment vertical="top" wrapText="1"/>
    </xf>
    <xf numFmtId="0" fontId="6" fillId="0" borderId="0" xfId="0" applyFont="1" applyAlignment="1">
      <alignment wrapText="1"/>
    </xf>
    <xf numFmtId="0" fontId="7" fillId="0" borderId="0" xfId="0" applyFont="1"/>
    <xf numFmtId="0" fontId="8" fillId="3" borderId="2" xfId="0" applyFont="1" applyFill="1" applyBorder="1" applyAlignment="1">
      <alignment horizontal="center" vertical="center" wrapText="1"/>
    </xf>
    <xf numFmtId="0" fontId="8" fillId="3" borderId="2" xfId="0" applyFont="1" applyFill="1" applyBorder="1" applyAlignment="1">
      <alignment horizontal="left" vertical="center" wrapText="1" indent="1"/>
    </xf>
    <xf numFmtId="0" fontId="9" fillId="4" borderId="2" xfId="0" applyFont="1" applyFill="1" applyBorder="1" applyAlignment="1">
      <alignment horizontal="left" vertical="center" wrapText="1" indent="1"/>
    </xf>
    <xf numFmtId="0" fontId="9" fillId="4" borderId="3" xfId="0" applyFont="1" applyFill="1" applyBorder="1" applyAlignment="1">
      <alignment horizontal="left" vertical="center" wrapText="1" indent="1"/>
    </xf>
    <xf numFmtId="0" fontId="10" fillId="0" borderId="0" xfId="0" applyFont="1"/>
    <xf numFmtId="1" fontId="3" fillId="5" borderId="4" xfId="0" applyNumberFormat="1" applyFont="1" applyFill="1" applyBorder="1" applyAlignment="1">
      <alignment horizontal="center" vertical="center" wrapText="1"/>
    </xf>
    <xf numFmtId="164" fontId="3" fillId="5" borderId="4" xfId="0" applyNumberFormat="1" applyFont="1" applyFill="1" applyBorder="1" applyAlignment="1">
      <alignment horizontal="center" vertical="center" wrapText="1"/>
    </xf>
    <xf numFmtId="0" fontId="3" fillId="6" borderId="4" xfId="0" applyFont="1" applyFill="1" applyBorder="1" applyAlignment="1">
      <alignment horizontal="left" vertical="center" wrapText="1" indent="1"/>
    </xf>
    <xf numFmtId="0" fontId="3" fillId="2" borderId="4" xfId="0" applyFont="1" applyFill="1" applyBorder="1" applyAlignment="1">
      <alignment horizontal="left" vertical="center" wrapText="1" inden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2" fillId="7" borderId="6" xfId="0" applyFont="1" applyFill="1" applyBorder="1" applyAlignment="1">
      <alignment horizontal="center" vertical="center" wrapText="1"/>
    </xf>
    <xf numFmtId="0" fontId="3" fillId="8" borderId="4" xfId="0" applyFont="1" applyFill="1" applyBorder="1" applyAlignment="1">
      <alignment horizontal="left" vertical="center" wrapText="1" indent="1"/>
    </xf>
    <xf numFmtId="0" fontId="3" fillId="9" borderId="4" xfId="0" applyFont="1" applyFill="1" applyBorder="1" applyAlignment="1">
      <alignment horizontal="left" vertical="center" wrapText="1" indent="1"/>
    </xf>
    <xf numFmtId="0" fontId="3" fillId="5" borderId="4" xfId="0" applyFont="1" applyFill="1" applyBorder="1" applyAlignment="1">
      <alignment horizontal="center" vertical="center" wrapText="1"/>
    </xf>
    <xf numFmtId="1" fontId="3" fillId="5" borderId="4" xfId="0" applyNumberFormat="1" applyFont="1" applyFill="1" applyBorder="1" applyAlignment="1">
      <alignment vertical="top" wrapText="1"/>
    </xf>
    <xf numFmtId="164" fontId="3" fillId="5" borderId="4" xfId="0" applyNumberFormat="1" applyFont="1" applyFill="1" applyBorder="1" applyAlignment="1">
      <alignment vertical="top" wrapText="1"/>
    </xf>
    <xf numFmtId="0" fontId="3" fillId="6" borderId="4" xfId="0" applyFont="1" applyFill="1" applyBorder="1" applyAlignment="1">
      <alignment vertical="top" wrapText="1"/>
    </xf>
    <xf numFmtId="0" fontId="3" fillId="2" borderId="4" xfId="0" applyFont="1" applyFill="1" applyBorder="1" applyAlignment="1">
      <alignment vertical="top" wrapText="1"/>
    </xf>
    <xf numFmtId="0" fontId="11" fillId="0" borderId="4" xfId="0" applyFont="1" applyBorder="1" applyAlignment="1">
      <alignment vertical="top" wrapText="1"/>
    </xf>
    <xf numFmtId="0" fontId="11" fillId="0" borderId="5" xfId="0" applyFont="1" applyBorder="1" applyAlignment="1">
      <alignment vertical="top" wrapText="1"/>
    </xf>
    <xf numFmtId="0" fontId="12" fillId="7" borderId="6" xfId="0" applyFont="1" applyFill="1" applyBorder="1" applyAlignment="1">
      <alignment vertical="top" wrapText="1"/>
    </xf>
    <xf numFmtId="0" fontId="3" fillId="8" borderId="4" xfId="0" applyFont="1" applyFill="1" applyBorder="1" applyAlignment="1">
      <alignment vertical="top" wrapText="1"/>
    </xf>
    <xf numFmtId="0" fontId="3" fillId="9" borderId="4" xfId="0" applyFont="1" applyFill="1" applyBorder="1" applyAlignment="1">
      <alignment vertical="top" wrapText="1"/>
    </xf>
    <xf numFmtId="0" fontId="3" fillId="5" borderId="4" xfId="0" applyFont="1" applyFill="1" applyBorder="1" applyAlignment="1">
      <alignment vertical="top" wrapText="1"/>
    </xf>
    <xf numFmtId="0" fontId="3" fillId="8" borderId="4" xfId="0" applyFont="1" applyFill="1" applyBorder="1" applyAlignment="1">
      <alignment horizontal="left" vertical="center" wrapText="1" indent="2"/>
    </xf>
    <xf numFmtId="0" fontId="3" fillId="9" borderId="4" xfId="0" applyFont="1" applyFill="1" applyBorder="1" applyAlignment="1">
      <alignment horizontal="left" vertical="center" wrapText="1" indent="2"/>
    </xf>
    <xf numFmtId="0" fontId="13" fillId="10" borderId="2" xfId="0" applyFont="1" applyFill="1" applyBorder="1" applyAlignment="1">
      <alignment horizontal="left" vertical="center" wrapText="1" indent="1"/>
    </xf>
    <xf numFmtId="0" fontId="14" fillId="0" borderId="0" xfId="0" applyFont="1"/>
    <xf numFmtId="0" fontId="15" fillId="0" borderId="0" xfId="0" applyFont="1" applyAlignment="1">
      <alignment horizontal="center" vertical="center"/>
    </xf>
    <xf numFmtId="0" fontId="15" fillId="0" borderId="0" xfId="0" applyFont="1" applyAlignment="1">
      <alignment horizontal="center"/>
    </xf>
    <xf numFmtId="0" fontId="14" fillId="0" borderId="0" xfId="0" applyFont="1" applyAlignment="1">
      <alignment horizontal="center"/>
    </xf>
    <xf numFmtId="0" fontId="3" fillId="11" borderId="4" xfId="0" applyFont="1" applyFill="1" applyBorder="1" applyAlignment="1">
      <alignment horizontal="left" vertical="center" wrapText="1" indent="1"/>
    </xf>
    <xf numFmtId="0" fontId="16" fillId="12" borderId="4" xfId="0" applyFont="1" applyFill="1" applyBorder="1" applyAlignment="1">
      <alignment horizontal="left" vertical="center" wrapText="1" indent="1"/>
    </xf>
    <xf numFmtId="0" fontId="17" fillId="0" borderId="0" xfId="0" applyFont="1"/>
    <xf numFmtId="0" fontId="15" fillId="12" borderId="4" xfId="0" applyFont="1" applyFill="1" applyBorder="1" applyAlignment="1">
      <alignment horizontal="center" vertical="center"/>
    </xf>
    <xf numFmtId="0" fontId="15" fillId="13" borderId="4" xfId="0" applyFont="1" applyFill="1" applyBorder="1" applyAlignment="1">
      <alignment horizontal="center" vertical="center"/>
    </xf>
    <xf numFmtId="0" fontId="17" fillId="0" borderId="0" xfId="0" applyFont="1" applyAlignment="1">
      <alignment horizontal="center"/>
    </xf>
    <xf numFmtId="0" fontId="3" fillId="14" borderId="4" xfId="0" applyFont="1" applyFill="1" applyBorder="1" applyAlignment="1">
      <alignment horizontal="left" vertical="center" wrapText="1" indent="1"/>
    </xf>
    <xf numFmtId="0" fontId="3" fillId="5" borderId="4" xfId="0" applyFont="1" applyFill="1" applyBorder="1" applyAlignment="1">
      <alignment horizontal="left" vertical="center" wrapText="1" indent="1"/>
    </xf>
    <xf numFmtId="0" fontId="16" fillId="13" borderId="4" xfId="0" applyFont="1" applyFill="1" applyBorder="1" applyAlignment="1">
      <alignment horizontal="left" vertical="center" wrapText="1" indent="1"/>
    </xf>
    <xf numFmtId="0" fontId="15" fillId="15" borderId="4" xfId="0" applyFont="1" applyFill="1" applyBorder="1" applyAlignment="1">
      <alignment horizontal="center" vertical="center"/>
    </xf>
    <xf numFmtId="0" fontId="3" fillId="16" borderId="4" xfId="0" applyFont="1" applyFill="1" applyBorder="1" applyAlignment="1">
      <alignment horizontal="left" vertical="center" wrapText="1" indent="1"/>
    </xf>
    <xf numFmtId="0" fontId="3" fillId="7" borderId="4" xfId="0" applyFont="1" applyFill="1" applyBorder="1" applyAlignment="1">
      <alignment horizontal="left" vertical="center" wrapText="1" indent="1"/>
    </xf>
    <xf numFmtId="0" fontId="16" fillId="15" borderId="4" xfId="0" applyFont="1" applyFill="1" applyBorder="1" applyAlignment="1">
      <alignment horizontal="left" vertical="center" wrapText="1" indent="1"/>
    </xf>
    <xf numFmtId="0" fontId="15" fillId="17" borderId="4" xfId="0" applyFont="1" applyFill="1" applyBorder="1" applyAlignment="1">
      <alignment horizontal="center" vertical="center"/>
    </xf>
    <xf numFmtId="0" fontId="3" fillId="18" borderId="4" xfId="0" applyFont="1" applyFill="1" applyBorder="1" applyAlignment="1">
      <alignment horizontal="left" vertical="center" wrapText="1" indent="1"/>
    </xf>
    <xf numFmtId="0" fontId="3" fillId="19" borderId="4" xfId="0" applyFont="1" applyFill="1" applyBorder="1" applyAlignment="1">
      <alignment horizontal="left" vertical="center" wrapText="1" indent="1"/>
    </xf>
    <xf numFmtId="0" fontId="16" fillId="17" borderId="4" xfId="0" applyFont="1" applyFill="1" applyBorder="1" applyAlignment="1">
      <alignment horizontal="left" vertical="center" wrapText="1" indent="1"/>
    </xf>
    <xf numFmtId="0" fontId="15" fillId="20" borderId="4" xfId="0" applyFont="1" applyFill="1" applyBorder="1" applyAlignment="1">
      <alignment horizontal="center" vertical="center"/>
    </xf>
    <xf numFmtId="0" fontId="3" fillId="21" borderId="4" xfId="0" applyFont="1" applyFill="1" applyBorder="1" applyAlignment="1">
      <alignment horizontal="left" vertical="center" wrapText="1" indent="1"/>
    </xf>
    <xf numFmtId="0" fontId="3" fillId="22" borderId="4" xfId="0" applyFont="1" applyFill="1" applyBorder="1" applyAlignment="1">
      <alignment horizontal="left" vertical="center" wrapText="1" indent="1"/>
    </xf>
    <xf numFmtId="0" fontId="16" fillId="20" borderId="4" xfId="0" applyFont="1" applyFill="1" applyBorder="1" applyAlignment="1">
      <alignment horizontal="left" vertical="center" wrapText="1" indent="1"/>
    </xf>
    <xf numFmtId="0" fontId="0" fillId="0" borderId="0" xfId="0" applyAlignment="1">
      <alignment horizontal="center"/>
    </xf>
    <xf numFmtId="0" fontId="13" fillId="10" borderId="2" xfId="0" applyFont="1" applyFill="1" applyBorder="1" applyAlignment="1">
      <alignment horizontal="center" vertical="center" wrapText="1"/>
    </xf>
    <xf numFmtId="0" fontId="16" fillId="11" borderId="4"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16" fillId="14" borderId="4"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16"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6" fillId="18" borderId="4" xfId="0" applyFont="1" applyFill="1" applyBorder="1" applyAlignment="1">
      <alignment horizontal="center" vertical="center" wrapText="1"/>
    </xf>
    <xf numFmtId="0" fontId="16" fillId="19" borderId="4" xfId="0" applyFont="1" applyFill="1" applyBorder="1" applyAlignment="1">
      <alignment horizontal="center" vertical="center" wrapText="1"/>
    </xf>
    <xf numFmtId="0" fontId="16" fillId="21" borderId="4" xfId="0" applyFont="1" applyFill="1" applyBorder="1" applyAlignment="1">
      <alignment horizontal="center" vertical="center" wrapText="1"/>
    </xf>
    <xf numFmtId="0" fontId="16" fillId="22" borderId="4" xfId="0" applyFont="1" applyFill="1" applyBorder="1" applyAlignment="1">
      <alignment horizontal="center" vertical="center" wrapText="1"/>
    </xf>
    <xf numFmtId="0" fontId="3" fillId="0" borderId="4" xfId="0" applyFont="1" applyBorder="1" applyAlignment="1">
      <alignment horizontal="left" vertical="center" wrapText="1" indent="1"/>
    </xf>
    <xf numFmtId="164" fontId="3" fillId="5" borderId="4" xfId="0" applyNumberFormat="1" applyFont="1" applyFill="1" applyBorder="1" applyAlignment="1">
      <alignment horizontal="left" vertical="top" wrapText="1"/>
    </xf>
  </cellXfs>
  <cellStyles count="2">
    <cellStyle name="Normal" xfId="0" builtinId="0"/>
    <cellStyle name="Normal 2" xfId="1" xr:uid="{00000000-0005-0000-0000-000006000000}"/>
  </cellStyles>
  <dxfs count="30">
    <dxf>
      <font>
        <color rgb="FFFFFFFF"/>
      </font>
      <fill>
        <patternFill>
          <bgColor rgb="FF4FE3CF"/>
        </patternFill>
      </fill>
    </dxf>
    <dxf>
      <font>
        <color rgb="FFFFFFFF"/>
      </font>
      <fill>
        <patternFill>
          <bgColor rgb="FFB5ED46"/>
        </patternFill>
      </fill>
    </dxf>
    <dxf>
      <font>
        <color rgb="FFFFFFFF"/>
      </font>
      <fill>
        <patternFill>
          <bgColor rgb="FFFFD700"/>
        </patternFill>
      </fill>
    </dxf>
    <dxf>
      <font>
        <color rgb="FFFFFFFF"/>
      </font>
      <fill>
        <patternFill>
          <bgColor rgb="FFFFA100"/>
        </patternFill>
      </fill>
    </dxf>
    <dxf>
      <font>
        <color rgb="FF000000"/>
      </font>
      <fill>
        <patternFill>
          <bgColor rgb="FFFF0000"/>
        </patternFill>
      </fill>
    </dxf>
    <dxf>
      <font>
        <color rgb="FFFFFFFF"/>
      </font>
      <fill>
        <patternFill>
          <bgColor rgb="FFF7F9FA"/>
        </patternFill>
      </fill>
    </dxf>
    <dxf>
      <font>
        <color rgb="FFFFFFFF"/>
      </font>
      <fill>
        <patternFill>
          <bgColor rgb="FFE7EBF2"/>
        </patternFill>
      </fill>
    </dxf>
    <dxf>
      <font>
        <color rgb="FFFFFFFF"/>
      </font>
      <numFmt numFmtId="0" formatCode="General"/>
      <fill>
        <patternFill>
          <bgColor rgb="FFD1D7E1"/>
        </patternFill>
      </fill>
    </dxf>
    <dxf>
      <font>
        <color rgb="FFFFFFFF"/>
      </font>
      <fill>
        <patternFill>
          <bgColor rgb="FFBAC1CA"/>
        </patternFill>
      </fill>
    </dxf>
    <dxf>
      <font>
        <color rgb="FFFFFFFF"/>
      </font>
      <fill>
        <patternFill>
          <bgColor rgb="FFA2B1C3"/>
        </patternFill>
      </fill>
    </dxf>
    <dxf>
      <font>
        <color rgb="FFFFFFFF"/>
      </font>
      <fill>
        <patternFill>
          <bgColor rgb="FFFFF1C5"/>
        </patternFill>
      </fill>
    </dxf>
    <dxf>
      <font>
        <color rgb="FFFFFFFF"/>
      </font>
      <fill>
        <patternFill>
          <bgColor rgb="FFFFE38E"/>
        </patternFill>
      </fill>
    </dxf>
    <dxf>
      <font>
        <color rgb="FFFFFFFF"/>
      </font>
      <numFmt numFmtId="0" formatCode="General"/>
      <fill>
        <patternFill>
          <bgColor rgb="FFFFD45B"/>
        </patternFill>
      </fill>
    </dxf>
    <dxf>
      <font>
        <color rgb="FFFFFFFF"/>
      </font>
      <fill>
        <patternFill>
          <bgColor rgb="FFFFB800"/>
        </patternFill>
      </fill>
    </dxf>
    <dxf>
      <font>
        <color rgb="FFFFFFFF"/>
      </font>
      <fill>
        <patternFill>
          <bgColor rgb="FFE0A100"/>
        </patternFill>
      </fill>
    </dxf>
    <dxf>
      <font>
        <color rgb="FFFFFFFF"/>
      </font>
      <fill>
        <patternFill>
          <bgColor rgb="FF4FE3CF"/>
        </patternFill>
      </fill>
    </dxf>
    <dxf>
      <font>
        <color rgb="FFFFFFFF"/>
      </font>
      <fill>
        <patternFill>
          <bgColor rgb="FFB5ED46"/>
        </patternFill>
      </fill>
    </dxf>
    <dxf>
      <font>
        <color rgb="FFFFFFFF"/>
      </font>
      <fill>
        <patternFill>
          <bgColor rgb="FFFFD700"/>
        </patternFill>
      </fill>
    </dxf>
    <dxf>
      <font>
        <color rgb="FFFFFFFF"/>
      </font>
      <fill>
        <patternFill>
          <bgColor rgb="FFFFA100"/>
        </patternFill>
      </fill>
    </dxf>
    <dxf>
      <font>
        <color rgb="FF000000"/>
      </font>
      <fill>
        <patternFill>
          <bgColor rgb="FFFF0000"/>
        </patternFill>
      </fill>
    </dxf>
    <dxf>
      <font>
        <color rgb="FFFFFFFF"/>
      </font>
      <fill>
        <patternFill>
          <bgColor rgb="FFF7F9FA"/>
        </patternFill>
      </fill>
    </dxf>
    <dxf>
      <font>
        <color rgb="FFFFFFFF"/>
      </font>
      <fill>
        <patternFill>
          <bgColor rgb="FFE7EBF2"/>
        </patternFill>
      </fill>
    </dxf>
    <dxf>
      <font>
        <color rgb="FFFFFFFF"/>
      </font>
      <numFmt numFmtId="0" formatCode="General"/>
      <fill>
        <patternFill>
          <bgColor rgb="FFD1D7E1"/>
        </patternFill>
      </fill>
    </dxf>
    <dxf>
      <font>
        <color rgb="FFFFFFFF"/>
      </font>
      <fill>
        <patternFill>
          <bgColor rgb="FFBAC1CA"/>
        </patternFill>
      </fill>
    </dxf>
    <dxf>
      <font>
        <color rgb="FFFFFFFF"/>
      </font>
      <fill>
        <patternFill>
          <bgColor rgb="FFA2B1C3"/>
        </patternFill>
      </fill>
    </dxf>
    <dxf>
      <font>
        <color rgb="FFFFFFFF"/>
      </font>
      <fill>
        <patternFill>
          <bgColor rgb="FFFFF1C5"/>
        </patternFill>
      </fill>
    </dxf>
    <dxf>
      <font>
        <color rgb="FFFFFFFF"/>
      </font>
      <fill>
        <patternFill>
          <bgColor rgb="FFFFE38E"/>
        </patternFill>
      </fill>
    </dxf>
    <dxf>
      <font>
        <color rgb="FFFFFFFF"/>
      </font>
      <numFmt numFmtId="0" formatCode="General"/>
      <fill>
        <patternFill>
          <bgColor rgb="FFFFD45B"/>
        </patternFill>
      </fill>
    </dxf>
    <dxf>
      <font>
        <color rgb="FFFFFFFF"/>
      </font>
      <fill>
        <patternFill>
          <bgColor rgb="FFFFB800"/>
        </patternFill>
      </fill>
    </dxf>
    <dxf>
      <font>
        <color rgb="FFFFFFFF"/>
      </font>
      <fill>
        <patternFill>
          <bgColor rgb="FFE0A100"/>
        </patternFill>
      </fill>
    </dxf>
  </dxfs>
  <tableStyles count="0" defaultTableStyle="TableStyleMedium2" defaultPivotStyle="PivotStyleLight16"/>
  <colors>
    <indexedColors>
      <rgbColor rgb="FF000000"/>
      <rgbColor rgb="FFFFFFFF"/>
      <rgbColor rgb="FFFF0000"/>
      <rgbColor rgb="FFF7F9FA"/>
      <rgbColor rgb="FF0000FF"/>
      <rgbColor rgb="FFFFDC00"/>
      <rgbColor rgb="FFFF00FF"/>
      <rgbColor rgb="FF5AE6D5"/>
      <rgbColor rgb="FF800000"/>
      <rgbColor rgb="FF008000"/>
      <rgbColor rgb="FF000080"/>
      <rgbColor rgb="FFE4AB01"/>
      <rgbColor rgb="FF800080"/>
      <rgbColor rgb="FF008080"/>
      <rgbColor rgb="FFBFBFBF"/>
      <rgbColor rgb="FFD6DCE5"/>
      <rgbColor rgb="FFA2B1C3"/>
      <rgbColor rgb="FFFFD45B"/>
      <rgbColor rgb="FFFFF2CC"/>
      <rgbColor rgb="FFE9F6FD"/>
      <rgbColor rgb="FF660066"/>
      <rgbColor rgb="FFFFAB00"/>
      <rgbColor rgb="FF0066CC"/>
      <rgbColor rgb="FFD1D7E1"/>
      <rgbColor rgb="FF000080"/>
      <rgbColor rgb="FFFF00FF"/>
      <rgbColor rgb="FFFFD966"/>
      <rgbColor rgb="FFE7EBF2"/>
      <rgbColor rgb="FF800080"/>
      <rgbColor rgb="FF800000"/>
      <rgbColor rgb="FF008080"/>
      <rgbColor rgb="FF0000FF"/>
      <rgbColor rgb="FFF7F9FB"/>
      <rgbColor rgb="FFDEEBF7"/>
      <rgbColor rgb="FFEAEEF3"/>
      <rgbColor rgb="FFFFF1C5"/>
      <rgbColor rgb="FFADB9CA"/>
      <rgbColor rgb="FFC2C8D0"/>
      <rgbColor rgb="FFBAC1CA"/>
      <rgbColor rgb="FFFFE38E"/>
      <rgbColor rgb="FF2E75B6"/>
      <rgbColor rgb="FF4FE3CF"/>
      <rgbColor rgb="FFB5ED46"/>
      <rgbColor rgb="FFFFD700"/>
      <rgbColor rgb="FFFFA100"/>
      <rgbColor rgb="FFE0A100"/>
      <rgbColor rgb="FF595959"/>
      <rgbColor rgb="FFAFABAB"/>
      <rgbColor rgb="FF003366"/>
      <rgbColor rgb="FFFFC000"/>
      <rgbColor rgb="FF003300"/>
      <rgbColor rgb="FF333300"/>
      <rgbColor rgb="FFFFB800"/>
      <rgbColor rgb="FFFFE699"/>
      <rgbColor rgb="FF1F4E7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19080</xdr:rowOff>
    </xdr:from>
    <xdr:to>
      <xdr:col>8</xdr:col>
      <xdr:colOff>520200</xdr:colOff>
      <xdr:row>2</xdr:row>
      <xdr:rowOff>1711440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59200" y="752400"/>
          <a:ext cx="7849080" cy="1692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901440</xdr:colOff>
      <xdr:row>1</xdr:row>
      <xdr:rowOff>1692360</xdr:rowOff>
    </xdr:to>
    <xdr:pic>
      <xdr:nvPicPr>
        <xdr:cNvPr id="2" name="Picture 3">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259200" y="533520"/>
          <a:ext cx="7845840" cy="16923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DB9CA"/>
    <pageSetUpPr fitToPage="1"/>
  </sheetPr>
  <dimension ref="A1:IW27"/>
  <sheetViews>
    <sheetView zoomScaleNormal="100" workbookViewId="0">
      <pane ySplit="1" topLeftCell="A2" activePane="bottomLeft" state="frozen"/>
      <selection pane="bottomLeft" activeCell="K3" sqref="K3"/>
    </sheetView>
  </sheetViews>
  <sheetFormatPr defaultColWidth="11" defaultRowHeight="15.6" x14ac:dyDescent="0.3"/>
  <cols>
    <col min="1" max="1" width="3.3984375" customWidth="1"/>
    <col min="2" max="2" width="10.8984375" style="2" customWidth="1"/>
    <col min="3" max="3" width="10.8984375" style="3" customWidth="1"/>
    <col min="4" max="4" width="13.5" style="2" customWidth="1"/>
    <col min="5" max="5" width="20.5" style="2" customWidth="1"/>
    <col min="6" max="6" width="12.8984375" style="3" customWidth="1"/>
    <col min="7" max="7" width="12.8984375" style="2" customWidth="1"/>
    <col min="8" max="8" width="13.8984375" style="2" customWidth="1"/>
    <col min="9" max="9" width="20.8984375" style="2" customWidth="1"/>
    <col min="10" max="10" width="15.8984375" style="2" customWidth="1"/>
    <col min="11" max="11" width="25.8984375" style="2" customWidth="1"/>
    <col min="12" max="12" width="15.8984375" style="2" customWidth="1"/>
    <col min="13" max="13" width="12.8984375" style="2" customWidth="1"/>
    <col min="14" max="14" width="20.8984375" style="2" customWidth="1"/>
    <col min="15" max="15" width="3.3984375" customWidth="1"/>
  </cols>
  <sheetData>
    <row r="1" spans="1:257" x14ac:dyDescent="0.3">
      <c r="I1" s="4"/>
    </row>
    <row r="2" spans="1:257" s="7" customFormat="1" ht="42" customHeight="1" x14ac:dyDescent="0.25">
      <c r="A2" s="5"/>
      <c r="B2" s="6" t="s">
        <v>0</v>
      </c>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row>
    <row r="3" spans="1:257" ht="138.75" customHeight="1" x14ac:dyDescent="0.3">
      <c r="C3" s="2"/>
      <c r="F3" s="2"/>
    </row>
    <row r="4" spans="1:257" ht="78.75" customHeight="1" x14ac:dyDescent="0.3">
      <c r="B4" s="8"/>
      <c r="D4" s="1" t="s">
        <v>1</v>
      </c>
      <c r="E4" s="1"/>
      <c r="H4" s="9" t="s">
        <v>2</v>
      </c>
    </row>
    <row r="5" spans="1:257" s="15" customFormat="1" ht="54.75" customHeight="1" x14ac:dyDescent="0.25">
      <c r="A5" s="10"/>
      <c r="B5" s="11" t="s">
        <v>3</v>
      </c>
      <c r="C5" s="11" t="s">
        <v>4</v>
      </c>
      <c r="D5" s="12" t="s">
        <v>5</v>
      </c>
      <c r="E5" s="12" t="s">
        <v>6</v>
      </c>
      <c r="F5" s="13" t="s">
        <v>7</v>
      </c>
      <c r="G5" s="14" t="s">
        <v>8</v>
      </c>
      <c r="H5" s="13" t="s">
        <v>9</v>
      </c>
      <c r="I5" s="12" t="s">
        <v>10</v>
      </c>
      <c r="J5" s="12" t="s">
        <v>11</v>
      </c>
      <c r="K5" s="12" t="s">
        <v>12</v>
      </c>
      <c r="L5" s="12" t="s">
        <v>13</v>
      </c>
      <c r="M5" s="12" t="s">
        <v>14</v>
      </c>
      <c r="N5" s="12" t="s">
        <v>15</v>
      </c>
      <c r="O5" s="10"/>
    </row>
    <row r="6" spans="1:257" ht="108" customHeight="1" x14ac:dyDescent="0.3">
      <c r="B6" s="16">
        <v>10001</v>
      </c>
      <c r="C6" s="17" t="s">
        <v>16</v>
      </c>
      <c r="D6" s="18" t="s">
        <v>17</v>
      </c>
      <c r="E6" s="19" t="s">
        <v>18</v>
      </c>
      <c r="F6" s="20">
        <v>1</v>
      </c>
      <c r="G6" s="21">
        <v>8</v>
      </c>
      <c r="H6" s="22">
        <f t="shared" ref="H6:H18" si="0">F6*G6</f>
        <v>8</v>
      </c>
      <c r="I6" s="19" t="s">
        <v>19</v>
      </c>
      <c r="J6" s="19" t="s">
        <v>20</v>
      </c>
      <c r="K6" s="19" t="s">
        <v>21</v>
      </c>
      <c r="L6" s="19" t="s">
        <v>22</v>
      </c>
      <c r="M6" s="23" t="s">
        <v>23</v>
      </c>
      <c r="N6" s="24"/>
    </row>
    <row r="7" spans="1:257" ht="121.5" customHeight="1" x14ac:dyDescent="0.3">
      <c r="B7" s="25">
        <v>10002</v>
      </c>
      <c r="C7" s="17" t="s">
        <v>16</v>
      </c>
      <c r="D7" s="18" t="s">
        <v>24</v>
      </c>
      <c r="E7" s="19" t="s">
        <v>25</v>
      </c>
      <c r="F7" s="20">
        <v>2</v>
      </c>
      <c r="G7" s="21">
        <v>4</v>
      </c>
      <c r="H7" s="22">
        <f t="shared" si="0"/>
        <v>8</v>
      </c>
      <c r="I7" s="19" t="s">
        <v>26</v>
      </c>
      <c r="J7" s="19" t="s">
        <v>27</v>
      </c>
      <c r="K7" s="19" t="s">
        <v>28</v>
      </c>
      <c r="L7" s="19" t="s">
        <v>29</v>
      </c>
      <c r="M7" s="23" t="s">
        <v>30</v>
      </c>
      <c r="N7" s="24"/>
    </row>
    <row r="8" spans="1:257" ht="108" customHeight="1" x14ac:dyDescent="0.3">
      <c r="B8" s="25">
        <v>10003</v>
      </c>
      <c r="C8" s="17" t="s">
        <v>16</v>
      </c>
      <c r="D8" s="18" t="s">
        <v>31</v>
      </c>
      <c r="E8" s="19" t="s">
        <v>32</v>
      </c>
      <c r="F8" s="20">
        <v>2</v>
      </c>
      <c r="G8" s="21">
        <v>8</v>
      </c>
      <c r="H8" s="22">
        <f t="shared" si="0"/>
        <v>16</v>
      </c>
      <c r="I8" s="19" t="s">
        <v>33</v>
      </c>
      <c r="J8" s="19" t="s">
        <v>34</v>
      </c>
      <c r="K8" s="19" t="s">
        <v>35</v>
      </c>
      <c r="L8" s="19" t="s">
        <v>36</v>
      </c>
      <c r="M8" s="23" t="s">
        <v>37</v>
      </c>
      <c r="N8" s="24"/>
    </row>
    <row r="9" spans="1:257" ht="81" customHeight="1" x14ac:dyDescent="0.3">
      <c r="B9" s="25">
        <v>10004</v>
      </c>
      <c r="C9" s="17" t="s">
        <v>16</v>
      </c>
      <c r="D9" s="18" t="s">
        <v>38</v>
      </c>
      <c r="E9" s="19" t="s">
        <v>39</v>
      </c>
      <c r="F9" s="20">
        <v>1</v>
      </c>
      <c r="G9" s="21">
        <v>8</v>
      </c>
      <c r="H9" s="22">
        <f t="shared" si="0"/>
        <v>8</v>
      </c>
      <c r="I9" s="19" t="s">
        <v>40</v>
      </c>
      <c r="J9" s="19" t="s">
        <v>41</v>
      </c>
      <c r="K9" s="19" t="s">
        <v>42</v>
      </c>
      <c r="L9" s="19" t="s">
        <v>43</v>
      </c>
      <c r="M9" s="23" t="s">
        <v>44</v>
      </c>
      <c r="N9" s="24"/>
    </row>
    <row r="10" spans="1:257" ht="49.5" customHeight="1" x14ac:dyDescent="0.3">
      <c r="B10" s="25"/>
      <c r="C10" s="17"/>
      <c r="D10" s="18"/>
      <c r="E10" s="19"/>
      <c r="F10" s="20">
        <v>1</v>
      </c>
      <c r="G10" s="21">
        <v>1</v>
      </c>
      <c r="H10" s="22">
        <f t="shared" si="0"/>
        <v>1</v>
      </c>
      <c r="I10" s="19"/>
      <c r="J10" s="19"/>
      <c r="K10" s="19"/>
      <c r="L10" s="19"/>
      <c r="M10" s="23"/>
      <c r="N10" s="24"/>
    </row>
    <row r="11" spans="1:257" ht="49.5" customHeight="1" x14ac:dyDescent="0.3">
      <c r="B11" s="25"/>
      <c r="C11" s="17"/>
      <c r="D11" s="18"/>
      <c r="E11" s="19"/>
      <c r="F11" s="20">
        <v>1</v>
      </c>
      <c r="G11" s="21">
        <v>2</v>
      </c>
      <c r="H11" s="22">
        <f t="shared" si="0"/>
        <v>2</v>
      </c>
      <c r="I11" s="19"/>
      <c r="J11" s="19"/>
      <c r="K11" s="19"/>
      <c r="L11" s="19"/>
      <c r="M11" s="23"/>
      <c r="N11" s="24"/>
    </row>
    <row r="12" spans="1:257" ht="49.5" customHeight="1" x14ac:dyDescent="0.3">
      <c r="B12" s="25"/>
      <c r="C12" s="17"/>
      <c r="D12" s="18"/>
      <c r="E12" s="19"/>
      <c r="F12" s="20">
        <v>1</v>
      </c>
      <c r="G12" s="21">
        <v>4</v>
      </c>
      <c r="H12" s="22">
        <f t="shared" si="0"/>
        <v>4</v>
      </c>
      <c r="I12" s="19"/>
      <c r="J12" s="19"/>
      <c r="K12" s="19"/>
      <c r="L12" s="19"/>
      <c r="M12" s="23"/>
      <c r="N12" s="24"/>
    </row>
    <row r="13" spans="1:257" ht="49.5" customHeight="1" x14ac:dyDescent="0.3">
      <c r="B13" s="25"/>
      <c r="C13" s="17"/>
      <c r="D13" s="18"/>
      <c r="E13" s="19"/>
      <c r="F13" s="20">
        <v>1</v>
      </c>
      <c r="G13" s="21">
        <v>8</v>
      </c>
      <c r="H13" s="22">
        <f t="shared" si="0"/>
        <v>8</v>
      </c>
      <c r="I13" s="19"/>
      <c r="J13" s="19"/>
      <c r="K13" s="19"/>
      <c r="L13" s="19"/>
      <c r="M13" s="23"/>
      <c r="N13" s="24"/>
    </row>
    <row r="14" spans="1:257" ht="49.5" customHeight="1" x14ac:dyDescent="0.3">
      <c r="B14" s="25"/>
      <c r="C14" s="17"/>
      <c r="D14" s="18"/>
      <c r="E14" s="19"/>
      <c r="F14" s="20">
        <v>1</v>
      </c>
      <c r="G14" s="21">
        <v>16</v>
      </c>
      <c r="H14" s="22">
        <f t="shared" si="0"/>
        <v>16</v>
      </c>
      <c r="I14" s="19"/>
      <c r="J14" s="19"/>
      <c r="K14" s="19"/>
      <c r="L14" s="19"/>
      <c r="M14" s="23"/>
      <c r="N14" s="24"/>
    </row>
    <row r="15" spans="1:257" ht="49.5" customHeight="1" x14ac:dyDescent="0.3">
      <c r="B15" s="25"/>
      <c r="C15" s="17"/>
      <c r="D15" s="18"/>
      <c r="E15" s="19"/>
      <c r="F15" s="20">
        <v>2</v>
      </c>
      <c r="G15" s="21">
        <v>16</v>
      </c>
      <c r="H15" s="22">
        <f t="shared" si="0"/>
        <v>32</v>
      </c>
      <c r="I15" s="19"/>
      <c r="J15" s="19"/>
      <c r="K15" s="19"/>
      <c r="L15" s="19"/>
      <c r="M15" s="23"/>
      <c r="N15" s="24"/>
    </row>
    <row r="16" spans="1:257" ht="49.5" customHeight="1" x14ac:dyDescent="0.3">
      <c r="B16" s="25"/>
      <c r="C16" s="17"/>
      <c r="D16" s="18"/>
      <c r="E16" s="19"/>
      <c r="F16" s="20">
        <v>3</v>
      </c>
      <c r="G16" s="21">
        <v>16</v>
      </c>
      <c r="H16" s="22">
        <f t="shared" si="0"/>
        <v>48</v>
      </c>
      <c r="I16" s="19"/>
      <c r="J16" s="19"/>
      <c r="K16" s="19"/>
      <c r="L16" s="19"/>
      <c r="M16" s="23"/>
      <c r="N16" s="24"/>
    </row>
    <row r="17" spans="2:14" ht="49.5" customHeight="1" x14ac:dyDescent="0.3">
      <c r="B17" s="25"/>
      <c r="C17" s="17"/>
      <c r="D17" s="18"/>
      <c r="E17" s="19"/>
      <c r="F17" s="20">
        <v>4</v>
      </c>
      <c r="G17" s="21">
        <v>16</v>
      </c>
      <c r="H17" s="22">
        <f t="shared" si="0"/>
        <v>64</v>
      </c>
      <c r="I17" s="19"/>
      <c r="J17" s="19"/>
      <c r="K17" s="19"/>
      <c r="L17" s="19"/>
      <c r="M17" s="23"/>
      <c r="N17" s="24"/>
    </row>
    <row r="18" spans="2:14" ht="49.5" customHeight="1" x14ac:dyDescent="0.3">
      <c r="B18" s="25"/>
      <c r="C18" s="17"/>
      <c r="D18" s="18"/>
      <c r="E18" s="19"/>
      <c r="F18" s="20">
        <v>5</v>
      </c>
      <c r="G18" s="21">
        <v>16</v>
      </c>
      <c r="H18" s="22">
        <f t="shared" si="0"/>
        <v>80</v>
      </c>
      <c r="I18" s="19"/>
      <c r="J18" s="19"/>
      <c r="K18" s="19"/>
      <c r="L18" s="19"/>
      <c r="M18" s="23"/>
      <c r="N18" s="24"/>
    </row>
    <row r="19" spans="2:14" ht="18" customHeight="1" x14ac:dyDescent="0.3"/>
    <row r="20" spans="2:14" ht="15.75" customHeight="1" x14ac:dyDescent="0.3"/>
    <row r="21" spans="2:14" ht="15.75" customHeight="1" x14ac:dyDescent="0.3"/>
    <row r="22" spans="2:14" ht="15.75" customHeight="1" x14ac:dyDescent="0.3"/>
    <row r="23" spans="2:14" ht="15.75" customHeight="1" x14ac:dyDescent="0.3"/>
    <row r="24" spans="2:14" ht="15.75" customHeight="1" x14ac:dyDescent="0.3"/>
    <row r="25" spans="2:14" ht="15.75" customHeight="1" x14ac:dyDescent="0.3"/>
    <row r="26" spans="2:14" ht="15.75" customHeight="1" x14ac:dyDescent="0.3"/>
    <row r="27" spans="2:14" ht="15.75" customHeight="1" x14ac:dyDescent="0.3"/>
  </sheetData>
  <mergeCells count="1">
    <mergeCell ref="D4:E4"/>
  </mergeCells>
  <conditionalFormatting sqref="F6:F18">
    <cfRule type="containsText" dxfId="29" priority="2" operator="containsText" text="5">
      <formula>NOT(ISERROR(SEARCH("5",F6)))</formula>
    </cfRule>
    <cfRule type="containsText" dxfId="28" priority="3" operator="containsText" text="4">
      <formula>NOT(ISERROR(SEARCH("4",F6)))</formula>
    </cfRule>
    <cfRule type="containsText" dxfId="27" priority="4" operator="containsText" text="3">
      <formula>NOT(ISERROR(SEARCH("3",F6)))</formula>
    </cfRule>
    <cfRule type="containsText" dxfId="26" priority="5" operator="containsText" text="2">
      <formula>NOT(ISERROR(SEARCH("2",F6)))</formula>
    </cfRule>
    <cfRule type="containsText" dxfId="25" priority="6" operator="containsText" text="1">
      <formula>NOT(ISERROR(SEARCH("1",F6)))</formula>
    </cfRule>
  </conditionalFormatting>
  <conditionalFormatting sqref="G6:G18">
    <cfRule type="containsText" dxfId="24" priority="12" operator="containsText" text="16">
      <formula>NOT(ISERROR(SEARCH("16",G6)))</formula>
    </cfRule>
    <cfRule type="containsText" dxfId="23" priority="13" operator="containsText" text="8">
      <formula>NOT(ISERROR(SEARCH("8",G6)))</formula>
    </cfRule>
    <cfRule type="containsText" dxfId="22" priority="14" operator="containsText" text="4">
      <formula>NOT(ISERROR(SEARCH("4",G6)))</formula>
    </cfRule>
    <cfRule type="containsText" dxfId="21" priority="15" operator="containsText" text="2">
      <formula>NOT(ISERROR(SEARCH("2",G6)))</formula>
    </cfRule>
    <cfRule type="containsText" dxfId="20" priority="16" operator="containsText" text="1">
      <formula>NOT(ISERROR(SEARCH("1",G6)))</formula>
    </cfRule>
  </conditionalFormatting>
  <conditionalFormatting sqref="H6:H18">
    <cfRule type="cellIs" dxfId="19" priority="7" operator="between">
      <formula>40</formula>
      <formula>80</formula>
    </cfRule>
    <cfRule type="cellIs" dxfId="18" priority="8" operator="between">
      <formula>20</formula>
      <formula>32</formula>
    </cfRule>
    <cfRule type="cellIs" dxfId="17" priority="9" operator="between">
      <formula>10</formula>
      <formula>16</formula>
    </cfRule>
    <cfRule type="cellIs" dxfId="16" priority="10" operator="between">
      <formula>3</formula>
      <formula>8</formula>
    </cfRule>
    <cfRule type="cellIs" dxfId="15" priority="11" operator="between">
      <formula>1</formula>
      <formula>2</formula>
    </cfRule>
  </conditionalFormatting>
  <pageMargins left="0.3" right="0.3" top="0.3" bottom="0.3"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6DCE5"/>
    <pageSetUpPr fitToPage="1"/>
  </sheetPr>
  <dimension ref="A1:IW43"/>
  <sheetViews>
    <sheetView showGridLines="0" tabSelected="1" topLeftCell="A3" zoomScaleNormal="100" workbookViewId="0">
      <selection activeCell="D11" sqref="D11"/>
    </sheetView>
  </sheetViews>
  <sheetFormatPr defaultColWidth="11" defaultRowHeight="15.6" x14ac:dyDescent="0.3"/>
  <cols>
    <col min="1" max="1" width="3.3984375" customWidth="1"/>
    <col min="2" max="2" width="10.8984375" style="2" customWidth="1"/>
    <col min="3" max="3" width="10.8984375" style="3" customWidth="1"/>
    <col min="4" max="4" width="13.5" style="2" customWidth="1"/>
    <col min="5" max="5" width="29.3984375" style="2" customWidth="1"/>
    <col min="6" max="6" width="12.8984375" style="3" customWidth="1"/>
    <col min="7" max="7" width="12.8984375" style="2" customWidth="1"/>
    <col min="8" max="8" width="13.8984375" style="2" customWidth="1"/>
    <col min="9" max="12" width="15.8984375" style="2" customWidth="1"/>
    <col min="13" max="13" width="12.8984375" style="2" customWidth="1"/>
    <col min="14" max="14" width="20.8984375" style="2" customWidth="1"/>
    <col min="15" max="15" width="3.3984375" customWidth="1"/>
  </cols>
  <sheetData>
    <row r="1" spans="1:257" s="7" customFormat="1" ht="42" customHeight="1" x14ac:dyDescent="0.25">
      <c r="A1" s="5"/>
      <c r="B1" s="6" t="s">
        <v>45</v>
      </c>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row>
    <row r="2" spans="1:257" ht="138.75" customHeight="1" x14ac:dyDescent="0.3">
      <c r="C2" s="2"/>
      <c r="F2" s="2"/>
    </row>
    <row r="3" spans="1:257" ht="78.75" customHeight="1" x14ac:dyDescent="0.3">
      <c r="B3" s="8"/>
      <c r="D3" s="1" t="s">
        <v>1</v>
      </c>
      <c r="E3" s="1"/>
      <c r="H3" s="9" t="s">
        <v>2</v>
      </c>
    </row>
    <row r="4" spans="1:257" s="15" customFormat="1" ht="54.75" customHeight="1" x14ac:dyDescent="0.25">
      <c r="A4" s="10"/>
      <c r="B4" s="11" t="s">
        <v>3</v>
      </c>
      <c r="C4" s="11" t="s">
        <v>4</v>
      </c>
      <c r="D4" s="12" t="s">
        <v>5</v>
      </c>
      <c r="E4" s="12" t="s">
        <v>6</v>
      </c>
      <c r="F4" s="13" t="s">
        <v>7</v>
      </c>
      <c r="G4" s="14" t="s">
        <v>8</v>
      </c>
      <c r="H4" s="13" t="s">
        <v>9</v>
      </c>
      <c r="I4" s="12" t="s">
        <v>10</v>
      </c>
      <c r="J4" s="12" t="s">
        <v>11</v>
      </c>
      <c r="K4" s="12" t="s">
        <v>12</v>
      </c>
      <c r="L4" s="12" t="s">
        <v>13</v>
      </c>
      <c r="M4" s="12" t="s">
        <v>14</v>
      </c>
      <c r="N4" s="12" t="s">
        <v>15</v>
      </c>
      <c r="O4" s="10"/>
    </row>
    <row r="5" spans="1:257" ht="79.5" customHeight="1" x14ac:dyDescent="0.3">
      <c r="B5" s="26" t="s">
        <v>46</v>
      </c>
      <c r="C5" s="27" t="s">
        <v>137</v>
      </c>
      <c r="D5" s="28" t="s">
        <v>47</v>
      </c>
      <c r="E5" s="29" t="s">
        <v>48</v>
      </c>
      <c r="F5" s="30">
        <v>3</v>
      </c>
      <c r="G5" s="31">
        <v>4</v>
      </c>
      <c r="H5" s="32">
        <f t="shared" ref="H5:H34" si="0">F5*G5</f>
        <v>12</v>
      </c>
      <c r="I5" s="29" t="s">
        <v>49</v>
      </c>
      <c r="J5" s="29" t="s">
        <v>50</v>
      </c>
      <c r="K5" s="29" t="s">
        <v>51</v>
      </c>
      <c r="L5" s="29" t="s">
        <v>52</v>
      </c>
      <c r="M5" s="33" t="s">
        <v>53</v>
      </c>
      <c r="N5" s="34" t="s">
        <v>54</v>
      </c>
    </row>
    <row r="6" spans="1:257" ht="79.5" customHeight="1" x14ac:dyDescent="0.3">
      <c r="B6" s="35" t="s">
        <v>55</v>
      </c>
      <c r="C6" s="27" t="s">
        <v>137</v>
      </c>
      <c r="D6" s="28" t="s">
        <v>56</v>
      </c>
      <c r="E6" s="29" t="s">
        <v>57</v>
      </c>
      <c r="F6" s="30">
        <v>3</v>
      </c>
      <c r="G6" s="31">
        <v>8</v>
      </c>
      <c r="H6" s="32">
        <f t="shared" si="0"/>
        <v>24</v>
      </c>
      <c r="I6" s="29" t="s">
        <v>58</v>
      </c>
      <c r="J6" s="29" t="s">
        <v>59</v>
      </c>
      <c r="K6" s="29" t="s">
        <v>60</v>
      </c>
      <c r="L6" s="29" t="s">
        <v>61</v>
      </c>
      <c r="M6" s="33" t="s">
        <v>53</v>
      </c>
      <c r="N6" s="34" t="s">
        <v>62</v>
      </c>
    </row>
    <row r="7" spans="1:257" ht="79.5" customHeight="1" x14ac:dyDescent="0.3">
      <c r="B7" s="35" t="s">
        <v>63</v>
      </c>
      <c r="C7" s="27" t="s">
        <v>137</v>
      </c>
      <c r="D7" s="28" t="s">
        <v>64</v>
      </c>
      <c r="E7" s="29" t="s">
        <v>65</v>
      </c>
      <c r="F7" s="30">
        <v>2</v>
      </c>
      <c r="G7" s="31">
        <v>8</v>
      </c>
      <c r="H7" s="32">
        <f t="shared" si="0"/>
        <v>16</v>
      </c>
      <c r="I7" s="29" t="s">
        <v>66</v>
      </c>
      <c r="J7" s="29" t="s">
        <v>67</v>
      </c>
      <c r="K7" s="29" t="s">
        <v>68</v>
      </c>
      <c r="L7" s="29" t="s">
        <v>61</v>
      </c>
      <c r="M7" s="33" t="s">
        <v>53</v>
      </c>
      <c r="N7" s="34" t="s">
        <v>69</v>
      </c>
    </row>
    <row r="8" spans="1:257" ht="79.5" customHeight="1" x14ac:dyDescent="0.3">
      <c r="B8" s="35" t="s">
        <v>70</v>
      </c>
      <c r="C8" s="77">
        <v>46147</v>
      </c>
      <c r="D8" s="28" t="s">
        <v>71</v>
      </c>
      <c r="E8" s="29" t="s">
        <v>72</v>
      </c>
      <c r="F8" s="30">
        <v>2</v>
      </c>
      <c r="G8" s="31">
        <v>8</v>
      </c>
      <c r="H8" s="32">
        <f t="shared" si="0"/>
        <v>16</v>
      </c>
      <c r="I8" s="29" t="s">
        <v>73</v>
      </c>
      <c r="J8" s="29" t="s">
        <v>74</v>
      </c>
      <c r="K8" s="29" t="s">
        <v>75</v>
      </c>
      <c r="L8" s="29" t="s">
        <v>61</v>
      </c>
      <c r="M8" s="33" t="s">
        <v>53</v>
      </c>
      <c r="N8" s="34" t="s">
        <v>76</v>
      </c>
    </row>
    <row r="9" spans="1:257" ht="79.5" customHeight="1" x14ac:dyDescent="0.3">
      <c r="B9" s="35" t="s">
        <v>77</v>
      </c>
      <c r="C9" s="77">
        <v>46147</v>
      </c>
      <c r="D9" s="28" t="s">
        <v>78</v>
      </c>
      <c r="E9" s="29" t="s">
        <v>79</v>
      </c>
      <c r="F9" s="30">
        <v>3</v>
      </c>
      <c r="G9" s="31">
        <v>4</v>
      </c>
      <c r="H9" s="32">
        <f t="shared" si="0"/>
        <v>12</v>
      </c>
      <c r="I9" s="29" t="s">
        <v>80</v>
      </c>
      <c r="J9" s="29" t="s">
        <v>81</v>
      </c>
      <c r="K9" s="29" t="s">
        <v>82</v>
      </c>
      <c r="L9" s="29" t="s">
        <v>61</v>
      </c>
      <c r="M9" s="33" t="s">
        <v>53</v>
      </c>
      <c r="N9" s="34" t="s">
        <v>83</v>
      </c>
    </row>
    <row r="10" spans="1:257" ht="79.5" customHeight="1" x14ac:dyDescent="0.3">
      <c r="B10" s="35" t="s">
        <v>84</v>
      </c>
      <c r="C10" s="77">
        <v>46147</v>
      </c>
      <c r="D10" s="28" t="s">
        <v>85</v>
      </c>
      <c r="E10" s="29" t="s">
        <v>86</v>
      </c>
      <c r="F10" s="30">
        <v>3</v>
      </c>
      <c r="G10" s="31">
        <v>4</v>
      </c>
      <c r="H10" s="32">
        <f t="shared" si="0"/>
        <v>12</v>
      </c>
      <c r="I10" s="29" t="s">
        <v>87</v>
      </c>
      <c r="J10" s="29" t="s">
        <v>88</v>
      </c>
      <c r="K10" s="29" t="s">
        <v>89</v>
      </c>
      <c r="L10" s="29" t="s">
        <v>61</v>
      </c>
      <c r="M10" s="33" t="s">
        <v>53</v>
      </c>
      <c r="N10" s="34" t="s">
        <v>90</v>
      </c>
    </row>
    <row r="11" spans="1:257" ht="79.5" customHeight="1" x14ac:dyDescent="0.3">
      <c r="B11" s="35" t="s">
        <v>91</v>
      </c>
      <c r="C11" s="77">
        <v>46361</v>
      </c>
      <c r="D11" s="28" t="s">
        <v>92</v>
      </c>
      <c r="E11" s="29" t="s">
        <v>93</v>
      </c>
      <c r="F11" s="30">
        <v>2</v>
      </c>
      <c r="G11" s="31">
        <v>4</v>
      </c>
      <c r="H11" s="32">
        <f t="shared" si="0"/>
        <v>8</v>
      </c>
      <c r="I11" s="29" t="s">
        <v>94</v>
      </c>
      <c r="J11" s="29" t="s">
        <v>95</v>
      </c>
      <c r="K11" s="29" t="s">
        <v>96</v>
      </c>
      <c r="L11" s="29" t="s">
        <v>61</v>
      </c>
      <c r="M11" s="33" t="s">
        <v>53</v>
      </c>
      <c r="N11" s="34" t="s">
        <v>97</v>
      </c>
    </row>
    <row r="12" spans="1:257" ht="79.5" customHeight="1" x14ac:dyDescent="0.3">
      <c r="B12" s="35" t="s">
        <v>98</v>
      </c>
      <c r="C12" s="77">
        <v>46361</v>
      </c>
      <c r="D12" s="28" t="s">
        <v>99</v>
      </c>
      <c r="E12" s="29" t="s">
        <v>100</v>
      </c>
      <c r="F12" s="30">
        <v>1</v>
      </c>
      <c r="G12" s="31">
        <v>8</v>
      </c>
      <c r="H12" s="32">
        <f t="shared" si="0"/>
        <v>8</v>
      </c>
      <c r="I12" s="29" t="s">
        <v>101</v>
      </c>
      <c r="J12" s="29" t="s">
        <v>102</v>
      </c>
      <c r="K12" s="29" t="s">
        <v>103</v>
      </c>
      <c r="L12" s="29" t="s">
        <v>61</v>
      </c>
      <c r="M12" s="33" t="s">
        <v>53</v>
      </c>
      <c r="N12" s="34" t="s">
        <v>104</v>
      </c>
    </row>
    <row r="13" spans="1:257" ht="49.5" customHeight="1" x14ac:dyDescent="0.3">
      <c r="B13" s="25"/>
      <c r="C13" s="17"/>
      <c r="D13" s="18"/>
      <c r="E13" s="19"/>
      <c r="F13" s="20"/>
      <c r="G13" s="21"/>
      <c r="H13" s="22">
        <f t="shared" si="0"/>
        <v>0</v>
      </c>
      <c r="I13" s="19"/>
      <c r="J13" s="19"/>
      <c r="K13" s="19"/>
      <c r="L13" s="19"/>
      <c r="M13" s="36"/>
      <c r="N13" s="37"/>
    </row>
    <row r="14" spans="1:257" ht="49.5" customHeight="1" x14ac:dyDescent="0.3">
      <c r="B14" s="25"/>
      <c r="C14" s="17"/>
      <c r="D14" s="18"/>
      <c r="E14" s="19"/>
      <c r="F14" s="20"/>
      <c r="G14" s="21"/>
      <c r="H14" s="22">
        <f t="shared" si="0"/>
        <v>0</v>
      </c>
      <c r="I14" s="19"/>
      <c r="J14" s="19"/>
      <c r="K14" s="19"/>
      <c r="L14" s="19"/>
      <c r="M14" s="36"/>
      <c r="N14" s="37"/>
    </row>
    <row r="15" spans="1:257" ht="49.5" customHeight="1" x14ac:dyDescent="0.3">
      <c r="B15" s="25"/>
      <c r="C15" s="17"/>
      <c r="D15" s="18"/>
      <c r="E15" s="19"/>
      <c r="F15" s="20"/>
      <c r="G15" s="21"/>
      <c r="H15" s="22">
        <f t="shared" si="0"/>
        <v>0</v>
      </c>
      <c r="I15" s="19"/>
      <c r="J15" s="19"/>
      <c r="K15" s="19"/>
      <c r="L15" s="19"/>
      <c r="M15" s="36"/>
      <c r="N15" s="37"/>
    </row>
    <row r="16" spans="1:257" ht="49.5" customHeight="1" x14ac:dyDescent="0.3">
      <c r="B16" s="25"/>
      <c r="C16" s="17"/>
      <c r="D16" s="18"/>
      <c r="E16" s="19"/>
      <c r="F16" s="20"/>
      <c r="G16" s="21"/>
      <c r="H16" s="22">
        <f t="shared" si="0"/>
        <v>0</v>
      </c>
      <c r="I16" s="19"/>
      <c r="J16" s="19"/>
      <c r="K16" s="19"/>
      <c r="L16" s="19"/>
      <c r="M16" s="36"/>
      <c r="N16" s="37"/>
    </row>
    <row r="17" spans="2:14" ht="49.5" customHeight="1" x14ac:dyDescent="0.3">
      <c r="B17" s="25"/>
      <c r="C17" s="17"/>
      <c r="D17" s="18"/>
      <c r="E17" s="19"/>
      <c r="F17" s="20"/>
      <c r="G17" s="21"/>
      <c r="H17" s="22">
        <f t="shared" si="0"/>
        <v>0</v>
      </c>
      <c r="I17" s="19"/>
      <c r="J17" s="19"/>
      <c r="K17" s="19"/>
      <c r="L17" s="19"/>
      <c r="M17" s="36"/>
      <c r="N17" s="37"/>
    </row>
    <row r="18" spans="2:14" ht="49.5" customHeight="1" x14ac:dyDescent="0.3">
      <c r="B18" s="25"/>
      <c r="C18" s="17"/>
      <c r="D18" s="18"/>
      <c r="E18" s="19"/>
      <c r="F18" s="20"/>
      <c r="G18" s="21"/>
      <c r="H18" s="22">
        <f t="shared" si="0"/>
        <v>0</v>
      </c>
      <c r="I18" s="19"/>
      <c r="J18" s="19"/>
      <c r="K18" s="19"/>
      <c r="L18" s="19"/>
      <c r="M18" s="36"/>
      <c r="N18" s="37"/>
    </row>
    <row r="19" spans="2:14" ht="49.5" customHeight="1" x14ac:dyDescent="0.3">
      <c r="B19" s="25"/>
      <c r="C19" s="17"/>
      <c r="D19" s="18"/>
      <c r="E19" s="19"/>
      <c r="F19" s="20"/>
      <c r="G19" s="21"/>
      <c r="H19" s="22">
        <f t="shared" si="0"/>
        <v>0</v>
      </c>
      <c r="I19" s="19"/>
      <c r="J19" s="19"/>
      <c r="K19" s="19"/>
      <c r="L19" s="19"/>
      <c r="M19" s="36"/>
      <c r="N19" s="37"/>
    </row>
    <row r="20" spans="2:14" ht="49.5" customHeight="1" x14ac:dyDescent="0.3">
      <c r="B20" s="25"/>
      <c r="C20" s="17"/>
      <c r="D20" s="18"/>
      <c r="E20" s="19"/>
      <c r="F20" s="20"/>
      <c r="G20" s="21"/>
      <c r="H20" s="22">
        <f t="shared" si="0"/>
        <v>0</v>
      </c>
      <c r="I20" s="19"/>
      <c r="J20" s="19"/>
      <c r="K20" s="19"/>
      <c r="L20" s="19"/>
      <c r="M20" s="36"/>
      <c r="N20" s="37"/>
    </row>
    <row r="21" spans="2:14" ht="49.5" customHeight="1" x14ac:dyDescent="0.3">
      <c r="B21" s="25"/>
      <c r="C21" s="17"/>
      <c r="D21" s="18"/>
      <c r="E21" s="19"/>
      <c r="F21" s="20"/>
      <c r="G21" s="21"/>
      <c r="H21" s="22">
        <f t="shared" si="0"/>
        <v>0</v>
      </c>
      <c r="I21" s="19"/>
      <c r="J21" s="19"/>
      <c r="K21" s="19"/>
      <c r="L21" s="19"/>
      <c r="M21" s="36"/>
      <c r="N21" s="37"/>
    </row>
    <row r="22" spans="2:14" ht="49.5" customHeight="1" x14ac:dyDescent="0.3">
      <c r="B22" s="25"/>
      <c r="C22" s="17"/>
      <c r="D22" s="18"/>
      <c r="E22" s="19"/>
      <c r="F22" s="20"/>
      <c r="G22" s="21"/>
      <c r="H22" s="22">
        <f t="shared" si="0"/>
        <v>0</v>
      </c>
      <c r="I22" s="19"/>
      <c r="J22" s="19"/>
      <c r="K22" s="19"/>
      <c r="L22" s="19"/>
      <c r="M22" s="36"/>
      <c r="N22" s="37"/>
    </row>
    <row r="23" spans="2:14" ht="49.5" customHeight="1" x14ac:dyDescent="0.3">
      <c r="B23" s="25"/>
      <c r="C23" s="17"/>
      <c r="D23" s="18"/>
      <c r="E23" s="19"/>
      <c r="F23" s="20"/>
      <c r="G23" s="21"/>
      <c r="H23" s="22">
        <f t="shared" si="0"/>
        <v>0</v>
      </c>
      <c r="I23" s="19"/>
      <c r="J23" s="19"/>
      <c r="K23" s="19"/>
      <c r="L23" s="19"/>
      <c r="M23" s="36"/>
      <c r="N23" s="37"/>
    </row>
    <row r="24" spans="2:14" ht="49.5" customHeight="1" x14ac:dyDescent="0.3">
      <c r="B24" s="25"/>
      <c r="C24" s="17"/>
      <c r="D24" s="18"/>
      <c r="E24" s="19"/>
      <c r="F24" s="20"/>
      <c r="G24" s="21"/>
      <c r="H24" s="22">
        <f t="shared" si="0"/>
        <v>0</v>
      </c>
      <c r="I24" s="19"/>
      <c r="J24" s="19"/>
      <c r="K24" s="19"/>
      <c r="L24" s="19"/>
      <c r="M24" s="36"/>
      <c r="N24" s="37"/>
    </row>
    <row r="25" spans="2:14" ht="49.5" customHeight="1" x14ac:dyDescent="0.3">
      <c r="B25" s="25"/>
      <c r="C25" s="17"/>
      <c r="D25" s="18"/>
      <c r="E25" s="19"/>
      <c r="F25" s="20"/>
      <c r="G25" s="21"/>
      <c r="H25" s="22">
        <f t="shared" si="0"/>
        <v>0</v>
      </c>
      <c r="I25" s="19"/>
      <c r="J25" s="19"/>
      <c r="K25" s="19"/>
      <c r="L25" s="19"/>
      <c r="M25" s="36"/>
      <c r="N25" s="37"/>
    </row>
    <row r="26" spans="2:14" ht="49.5" customHeight="1" x14ac:dyDescent="0.3">
      <c r="B26" s="25"/>
      <c r="C26" s="17"/>
      <c r="D26" s="18"/>
      <c r="E26" s="19"/>
      <c r="F26" s="20"/>
      <c r="G26" s="21"/>
      <c r="H26" s="22">
        <f t="shared" si="0"/>
        <v>0</v>
      </c>
      <c r="I26" s="19"/>
      <c r="J26" s="19"/>
      <c r="K26" s="19"/>
      <c r="L26" s="19"/>
      <c r="M26" s="36"/>
      <c r="N26" s="37"/>
    </row>
    <row r="27" spans="2:14" ht="49.5" customHeight="1" x14ac:dyDescent="0.3">
      <c r="B27" s="25"/>
      <c r="C27" s="17"/>
      <c r="D27" s="18"/>
      <c r="E27" s="19"/>
      <c r="F27" s="20"/>
      <c r="G27" s="21"/>
      <c r="H27" s="22">
        <f t="shared" si="0"/>
        <v>0</v>
      </c>
      <c r="I27" s="19"/>
      <c r="J27" s="19"/>
      <c r="K27" s="19"/>
      <c r="L27" s="19"/>
      <c r="M27" s="36"/>
      <c r="N27" s="37"/>
    </row>
    <row r="28" spans="2:14" ht="49.5" customHeight="1" x14ac:dyDescent="0.3">
      <c r="B28" s="25"/>
      <c r="C28" s="17"/>
      <c r="D28" s="18"/>
      <c r="E28" s="19"/>
      <c r="F28" s="20"/>
      <c r="G28" s="21"/>
      <c r="H28" s="22">
        <f t="shared" si="0"/>
        <v>0</v>
      </c>
      <c r="I28" s="19"/>
      <c r="J28" s="19"/>
      <c r="K28" s="19"/>
      <c r="L28" s="19"/>
      <c r="M28" s="36"/>
      <c r="N28" s="37"/>
    </row>
    <row r="29" spans="2:14" ht="49.5" customHeight="1" x14ac:dyDescent="0.3">
      <c r="B29" s="25"/>
      <c r="C29" s="17"/>
      <c r="D29" s="18"/>
      <c r="E29" s="19"/>
      <c r="F29" s="20"/>
      <c r="G29" s="21"/>
      <c r="H29" s="22">
        <f t="shared" si="0"/>
        <v>0</v>
      </c>
      <c r="I29" s="19"/>
      <c r="J29" s="19"/>
      <c r="K29" s="19"/>
      <c r="L29" s="19"/>
      <c r="M29" s="36"/>
      <c r="N29" s="37"/>
    </row>
    <row r="30" spans="2:14" ht="49.5" customHeight="1" x14ac:dyDescent="0.3">
      <c r="B30" s="25"/>
      <c r="C30" s="17"/>
      <c r="D30" s="18"/>
      <c r="E30" s="19"/>
      <c r="F30" s="20"/>
      <c r="G30" s="21"/>
      <c r="H30" s="22">
        <f t="shared" si="0"/>
        <v>0</v>
      </c>
      <c r="I30" s="19"/>
      <c r="J30" s="19"/>
      <c r="K30" s="19"/>
      <c r="L30" s="19"/>
      <c r="M30" s="36"/>
      <c r="N30" s="37"/>
    </row>
    <row r="31" spans="2:14" ht="49.5" customHeight="1" x14ac:dyDescent="0.3">
      <c r="B31" s="25"/>
      <c r="C31" s="17"/>
      <c r="D31" s="18"/>
      <c r="E31" s="19"/>
      <c r="F31" s="20"/>
      <c r="G31" s="21"/>
      <c r="H31" s="22">
        <f t="shared" si="0"/>
        <v>0</v>
      </c>
      <c r="I31" s="19"/>
      <c r="J31" s="19"/>
      <c r="K31" s="19"/>
      <c r="L31" s="19"/>
      <c r="M31" s="36"/>
      <c r="N31" s="37"/>
    </row>
    <row r="32" spans="2:14" ht="49.5" customHeight="1" x14ac:dyDescent="0.3">
      <c r="B32" s="25"/>
      <c r="C32" s="17"/>
      <c r="D32" s="18"/>
      <c r="E32" s="19"/>
      <c r="F32" s="20"/>
      <c r="G32" s="21"/>
      <c r="H32" s="22">
        <f t="shared" si="0"/>
        <v>0</v>
      </c>
      <c r="I32" s="19"/>
      <c r="J32" s="19"/>
      <c r="K32" s="19"/>
      <c r="L32" s="19"/>
      <c r="M32" s="36"/>
      <c r="N32" s="37"/>
    </row>
    <row r="33" spans="2:14" ht="49.5" customHeight="1" x14ac:dyDescent="0.3">
      <c r="B33" s="25"/>
      <c r="C33" s="17"/>
      <c r="D33" s="18"/>
      <c r="E33" s="19"/>
      <c r="F33" s="20"/>
      <c r="G33" s="21"/>
      <c r="H33" s="22">
        <f t="shared" si="0"/>
        <v>0</v>
      </c>
      <c r="I33" s="19"/>
      <c r="J33" s="19"/>
      <c r="K33" s="19"/>
      <c r="L33" s="19"/>
      <c r="M33" s="36"/>
      <c r="N33" s="37"/>
    </row>
    <row r="34" spans="2:14" ht="49.5" customHeight="1" x14ac:dyDescent="0.3">
      <c r="B34" s="25"/>
      <c r="C34" s="17"/>
      <c r="D34" s="18"/>
      <c r="E34" s="19"/>
      <c r="F34" s="20"/>
      <c r="G34" s="21"/>
      <c r="H34" s="22">
        <f t="shared" si="0"/>
        <v>0</v>
      </c>
      <c r="I34" s="19"/>
      <c r="J34" s="19"/>
      <c r="K34" s="19"/>
      <c r="L34" s="19"/>
      <c r="M34" s="36"/>
      <c r="N34" s="37"/>
    </row>
    <row r="35" spans="2:14" ht="18" customHeight="1" x14ac:dyDescent="0.3"/>
    <row r="36" spans="2:14" ht="15.75" customHeight="1" x14ac:dyDescent="0.3"/>
    <row r="37" spans="2:14" ht="15.75" customHeight="1" x14ac:dyDescent="0.3"/>
    <row r="38" spans="2:14" ht="15.75" customHeight="1" x14ac:dyDescent="0.3"/>
    <row r="39" spans="2:14" ht="15.75" customHeight="1" x14ac:dyDescent="0.3"/>
    <row r="40" spans="2:14" ht="15.75" customHeight="1" x14ac:dyDescent="0.3"/>
    <row r="41" spans="2:14" ht="15.75" customHeight="1" x14ac:dyDescent="0.3"/>
    <row r="42" spans="2:14" ht="15.75" customHeight="1" x14ac:dyDescent="0.3"/>
    <row r="43" spans="2:14" ht="15.75" customHeight="1" x14ac:dyDescent="0.3"/>
  </sheetData>
  <mergeCells count="1">
    <mergeCell ref="D3:E3"/>
  </mergeCells>
  <conditionalFormatting sqref="F5:F34">
    <cfRule type="containsText" dxfId="14" priority="2" operator="containsText" text="5">
      <formula>NOT(ISERROR(SEARCH("5",F5)))</formula>
    </cfRule>
    <cfRule type="containsText" dxfId="13" priority="3" operator="containsText" text="4">
      <formula>NOT(ISERROR(SEARCH("4",F5)))</formula>
    </cfRule>
    <cfRule type="containsText" dxfId="12" priority="4" operator="containsText" text="3">
      <formula>NOT(ISERROR(SEARCH("3",F5)))</formula>
    </cfRule>
    <cfRule type="containsText" dxfId="11" priority="5" operator="containsText" text="2">
      <formula>NOT(ISERROR(SEARCH("2",F5)))</formula>
    </cfRule>
    <cfRule type="containsText" dxfId="10" priority="6" operator="containsText" text="1">
      <formula>NOT(ISERROR(SEARCH("1",F5)))</formula>
    </cfRule>
  </conditionalFormatting>
  <conditionalFormatting sqref="G5:G34">
    <cfRule type="containsText" dxfId="9" priority="12" operator="containsText" text="16">
      <formula>NOT(ISERROR(SEARCH("16",G5)))</formula>
    </cfRule>
    <cfRule type="containsText" dxfId="8" priority="13" operator="containsText" text="8">
      <formula>NOT(ISERROR(SEARCH("8",G5)))</formula>
    </cfRule>
    <cfRule type="containsText" dxfId="7" priority="14" operator="containsText" text="4">
      <formula>NOT(ISERROR(SEARCH("4",G5)))</formula>
    </cfRule>
    <cfRule type="containsText" dxfId="6" priority="15" operator="containsText" text="2">
      <formula>NOT(ISERROR(SEARCH("2",G5)))</formula>
    </cfRule>
    <cfRule type="containsText" dxfId="5" priority="16" operator="containsText" text="1">
      <formula>NOT(ISERROR(SEARCH("1",G5)))</formula>
    </cfRule>
  </conditionalFormatting>
  <conditionalFormatting sqref="H5:H34">
    <cfRule type="cellIs" dxfId="4" priority="7" operator="between">
      <formula>40</formula>
      <formula>80</formula>
    </cfRule>
    <cfRule type="cellIs" dxfId="3" priority="8" operator="between">
      <formula>20</formula>
      <formula>32</formula>
    </cfRule>
    <cfRule type="cellIs" dxfId="2" priority="9" operator="between">
      <formula>10</formula>
      <formula>16</formula>
    </cfRule>
    <cfRule type="cellIs" dxfId="1" priority="10" operator="between">
      <formula>3</formula>
      <formula>8</formula>
    </cfRule>
    <cfRule type="cellIs" dxfId="0" priority="11" operator="between">
      <formula>1</formula>
      <formula>2</formula>
    </cfRule>
  </conditionalFormatting>
  <pageMargins left="0.3" right="0.3" top="0.3" bottom="0.3"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FABAB"/>
  </sheetPr>
  <dimension ref="A1:IX27"/>
  <sheetViews>
    <sheetView showGridLines="0" zoomScaleNormal="100" workbookViewId="0">
      <selection activeCell="B3" sqref="B3"/>
    </sheetView>
  </sheetViews>
  <sheetFormatPr defaultColWidth="11" defaultRowHeight="15.6" x14ac:dyDescent="0.3"/>
  <cols>
    <col min="1" max="1" width="3.3984375" customWidth="1"/>
    <col min="2" max="4" width="22.8984375" customWidth="1"/>
    <col min="5" max="5" width="3.3984375" customWidth="1"/>
    <col min="6" max="6" width="4" customWidth="1"/>
    <col min="7" max="7" width="3.3984375" customWidth="1"/>
    <col min="13" max="13" width="6.5" customWidth="1"/>
    <col min="14" max="14" width="19.8984375" customWidth="1"/>
    <col min="15" max="15" width="3.3984375" customWidth="1"/>
    <col min="16" max="16" width="19.8984375" customWidth="1"/>
    <col min="17" max="17" width="3.3984375" customWidth="1"/>
  </cols>
  <sheetData>
    <row r="1" spans="1:258" s="7" customFormat="1" ht="42" customHeight="1" x14ac:dyDescent="0.25">
      <c r="A1" s="5"/>
      <c r="B1" s="6" t="s">
        <v>105</v>
      </c>
      <c r="F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row>
    <row r="2" spans="1:258" ht="24.75" customHeight="1" x14ac:dyDescent="0.3">
      <c r="B2" s="38" t="s">
        <v>106</v>
      </c>
      <c r="C2" s="38" t="s">
        <v>107</v>
      </c>
      <c r="D2" s="38" t="s">
        <v>108</v>
      </c>
      <c r="E2" s="39"/>
      <c r="G2" s="40"/>
      <c r="H2" s="41">
        <v>1</v>
      </c>
      <c r="I2" s="41">
        <v>2</v>
      </c>
      <c r="J2" s="41">
        <v>3</v>
      </c>
      <c r="K2" s="41">
        <v>4</v>
      </c>
      <c r="L2" s="41">
        <v>5</v>
      </c>
      <c r="M2" s="39"/>
      <c r="O2" s="42"/>
    </row>
    <row r="3" spans="1:258" ht="24.75" customHeight="1" x14ac:dyDescent="0.3">
      <c r="B3" s="43" t="s">
        <v>109</v>
      </c>
      <c r="C3" s="18" t="s">
        <v>110</v>
      </c>
      <c r="D3" s="44" t="s">
        <v>111</v>
      </c>
      <c r="E3" s="45"/>
      <c r="G3" s="40">
        <v>1</v>
      </c>
      <c r="H3" s="46">
        <f>H2*$G$3</f>
        <v>1</v>
      </c>
      <c r="I3" s="46">
        <f>I2*$G$3</f>
        <v>2</v>
      </c>
      <c r="J3" s="47">
        <f>J2*$G$3</f>
        <v>3</v>
      </c>
      <c r="K3" s="47">
        <f>K2*$G$3</f>
        <v>4</v>
      </c>
      <c r="L3" s="47">
        <f>L2*$G$3</f>
        <v>5</v>
      </c>
      <c r="M3" s="45"/>
      <c r="O3" s="48"/>
    </row>
    <row r="4" spans="1:258" ht="24.75" customHeight="1" x14ac:dyDescent="0.3">
      <c r="B4" s="49" t="s">
        <v>112</v>
      </c>
      <c r="C4" s="50" t="s">
        <v>113</v>
      </c>
      <c r="D4" s="51" t="s">
        <v>114</v>
      </c>
      <c r="E4" s="45"/>
      <c r="G4" s="40">
        <v>2</v>
      </c>
      <c r="H4" s="46">
        <f>H2*$G$4</f>
        <v>2</v>
      </c>
      <c r="I4" s="47">
        <f>I2*$G$4</f>
        <v>4</v>
      </c>
      <c r="J4" s="47">
        <f>J2*$G$4</f>
        <v>6</v>
      </c>
      <c r="K4" s="47">
        <f>K2*$G$4</f>
        <v>8</v>
      </c>
      <c r="L4" s="52">
        <f>L2*$G$4</f>
        <v>10</v>
      </c>
      <c r="M4" s="45"/>
      <c r="O4" s="48"/>
    </row>
    <row r="5" spans="1:258" ht="24.75" customHeight="1" x14ac:dyDescent="0.3">
      <c r="B5" s="53" t="s">
        <v>115</v>
      </c>
      <c r="C5" s="54" t="s">
        <v>116</v>
      </c>
      <c r="D5" s="55" t="s">
        <v>117</v>
      </c>
      <c r="E5" s="45"/>
      <c r="G5" s="40">
        <v>4</v>
      </c>
      <c r="H5" s="47">
        <f>H2*$G$5</f>
        <v>4</v>
      </c>
      <c r="I5" s="47">
        <f>I2*$G$5</f>
        <v>8</v>
      </c>
      <c r="J5" s="52">
        <f>J2*$G$5</f>
        <v>12</v>
      </c>
      <c r="K5" s="52">
        <f>K2*$G$5</f>
        <v>16</v>
      </c>
      <c r="L5" s="56">
        <f>L2*$G$5</f>
        <v>20</v>
      </c>
      <c r="M5" s="45"/>
      <c r="O5" s="48"/>
    </row>
    <row r="6" spans="1:258" ht="24.75" customHeight="1" x14ac:dyDescent="0.3">
      <c r="B6" s="57" t="s">
        <v>118</v>
      </c>
      <c r="C6" s="58" t="s">
        <v>119</v>
      </c>
      <c r="D6" s="59" t="s">
        <v>120</v>
      </c>
      <c r="E6" s="45"/>
      <c r="G6" s="40">
        <v>8</v>
      </c>
      <c r="H6" s="47">
        <f>H2*$G$6</f>
        <v>8</v>
      </c>
      <c r="I6" s="52">
        <f>I2*$G$6</f>
        <v>16</v>
      </c>
      <c r="J6" s="56">
        <f>J2*$G$6</f>
        <v>24</v>
      </c>
      <c r="K6" s="56">
        <f>K2*$G$6</f>
        <v>32</v>
      </c>
      <c r="L6" s="60">
        <f>L2*$G$6</f>
        <v>40</v>
      </c>
      <c r="M6" s="45"/>
      <c r="O6" s="48"/>
    </row>
    <row r="7" spans="1:258" ht="24.75" customHeight="1" x14ac:dyDescent="0.3">
      <c r="B7" s="61" t="s">
        <v>121</v>
      </c>
      <c r="C7" s="62" t="s">
        <v>122</v>
      </c>
      <c r="D7" s="63" t="s">
        <v>123</v>
      </c>
      <c r="G7" s="40">
        <v>16</v>
      </c>
      <c r="H7" s="52">
        <f>H2*$G$7</f>
        <v>16</v>
      </c>
      <c r="I7" s="56">
        <f>I2*$G$7</f>
        <v>32</v>
      </c>
      <c r="J7" s="60">
        <f>J2*$G$7</f>
        <v>48</v>
      </c>
      <c r="K7" s="60">
        <f>K2*$G$7</f>
        <v>64</v>
      </c>
      <c r="L7" s="60">
        <f>L2*$G$7</f>
        <v>80</v>
      </c>
      <c r="O7" s="64"/>
    </row>
    <row r="8" spans="1:258" ht="16.5" customHeight="1" x14ac:dyDescent="0.3">
      <c r="G8" s="40"/>
      <c r="H8" s="40"/>
      <c r="I8" s="40"/>
      <c r="J8" s="40"/>
      <c r="K8" s="40"/>
      <c r="L8" s="40"/>
    </row>
    <row r="9" spans="1:258" ht="24.75" customHeight="1" x14ac:dyDescent="0.3">
      <c r="B9" s="65" t="s">
        <v>124</v>
      </c>
      <c r="C9" s="65" t="s">
        <v>125</v>
      </c>
    </row>
    <row r="10" spans="1:258" ht="24.75" customHeight="1" x14ac:dyDescent="0.3">
      <c r="B10" s="66">
        <v>1</v>
      </c>
      <c r="C10" s="67">
        <v>1</v>
      </c>
    </row>
    <row r="11" spans="1:258" ht="24.75" customHeight="1" x14ac:dyDescent="0.3">
      <c r="B11" s="68">
        <v>2</v>
      </c>
      <c r="C11" s="69">
        <v>2</v>
      </c>
    </row>
    <row r="12" spans="1:258" ht="24.75" customHeight="1" x14ac:dyDescent="0.3">
      <c r="B12" s="70">
        <v>3</v>
      </c>
      <c r="C12" s="71">
        <v>4</v>
      </c>
    </row>
    <row r="13" spans="1:258" ht="24.75" customHeight="1" x14ac:dyDescent="0.3">
      <c r="B13" s="72">
        <v>4</v>
      </c>
      <c r="C13" s="73">
        <v>8</v>
      </c>
    </row>
    <row r="14" spans="1:258" ht="24.75" customHeight="1" x14ac:dyDescent="0.3">
      <c r="B14" s="74">
        <v>5</v>
      </c>
      <c r="C14" s="75">
        <v>16</v>
      </c>
    </row>
    <row r="16" spans="1:258" ht="43.5" customHeight="1" x14ac:dyDescent="0.3">
      <c r="B16" s="8" t="s">
        <v>126</v>
      </c>
    </row>
    <row r="17" spans="2:2" ht="24.75" customHeight="1" x14ac:dyDescent="0.3">
      <c r="B17" s="38" t="s">
        <v>5</v>
      </c>
    </row>
    <row r="18" spans="2:2" ht="24.75" customHeight="1" x14ac:dyDescent="0.3">
      <c r="B18" s="76" t="s">
        <v>127</v>
      </c>
    </row>
    <row r="19" spans="2:2" ht="24.75" customHeight="1" x14ac:dyDescent="0.3">
      <c r="B19" s="76" t="s">
        <v>128</v>
      </c>
    </row>
    <row r="20" spans="2:2" ht="24.75" customHeight="1" x14ac:dyDescent="0.3">
      <c r="B20" s="76" t="s">
        <v>129</v>
      </c>
    </row>
    <row r="21" spans="2:2" ht="24.75" customHeight="1" x14ac:dyDescent="0.3">
      <c r="B21" s="76" t="s">
        <v>130</v>
      </c>
    </row>
    <row r="22" spans="2:2" ht="24.75" customHeight="1" x14ac:dyDescent="0.3">
      <c r="B22" s="76" t="s">
        <v>131</v>
      </c>
    </row>
    <row r="23" spans="2:2" ht="24.75" customHeight="1" x14ac:dyDescent="0.3">
      <c r="B23" s="76" t="s">
        <v>132</v>
      </c>
    </row>
    <row r="24" spans="2:2" ht="24.75" customHeight="1" x14ac:dyDescent="0.3">
      <c r="B24" s="76" t="s">
        <v>133</v>
      </c>
    </row>
    <row r="25" spans="2:2" ht="24.75" customHeight="1" x14ac:dyDescent="0.3">
      <c r="B25" s="76" t="s">
        <v>134</v>
      </c>
    </row>
    <row r="26" spans="2:2" ht="24.75" customHeight="1" x14ac:dyDescent="0.3">
      <c r="B26" s="76" t="s">
        <v>135</v>
      </c>
    </row>
    <row r="27" spans="2:2" ht="24.75" customHeight="1" x14ac:dyDescent="0.3">
      <c r="B27" s="76" t="s">
        <v>136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 risk register</vt:lpstr>
      <vt:lpstr>BLANK - Risk Reg</vt:lpstr>
      <vt:lpstr>Dropdown Keys – DO NOT DELETE –</vt:lpstr>
      <vt:lpstr>'BLANK - Risk Reg'!Print_Area</vt:lpstr>
      <vt:lpstr>'Example risk register'!Print_Area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dc:description/>
  <cp:lastModifiedBy>Austin Adison</cp:lastModifiedBy>
  <cp:revision>0</cp:revision>
  <cp:lastPrinted>2022-09-25T20:48:00Z</cp:lastPrinted>
  <dcterms:created xsi:type="dcterms:W3CDTF">2016-05-31T16:01:17Z</dcterms:created>
  <dcterms:modified xsi:type="dcterms:W3CDTF">2026-05-19T01:43:19Z</dcterms:modified>
  <dc:language>en-US</dc:language>
</cp:coreProperties>
</file>